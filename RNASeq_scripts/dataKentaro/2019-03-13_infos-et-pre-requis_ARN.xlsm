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NGS\NovaSeq\BFP_YVGI_FRIMOUSS\1-QC_ARN\"/>
    </mc:Choice>
  </mc:AlternateContent>
  <bookViews>
    <workbookView xWindow="-15" yWindow="45" windowWidth="17400" windowHeight="11640" tabRatio="879" firstSheet="1" activeTab="1"/>
  </bookViews>
  <sheets>
    <sheet name="Accueil" sheetId="25" state="hidden" r:id="rId1"/>
    <sheet name="ARN" sheetId="27" r:id="rId2"/>
  </sheets>
  <functionGroups builtInGroupCount="18"/>
  <definedNames>
    <definedName name="ARN">#REF!</definedName>
    <definedName name="BDC">#REF!</definedName>
    <definedName name="BioInfo">#REF!</definedName>
    <definedName name="Contrat_accueil">#REF!</definedName>
    <definedName name="CR">#REF!</definedName>
    <definedName name="DATABASE">#REF!</definedName>
    <definedName name="DEVIS">#REF!</definedName>
    <definedName name="RT">#REF!</definedName>
    <definedName name="SATISFACTION">#REF!</definedName>
    <definedName name="Tube">#REF!</definedName>
  </definedNames>
  <calcPr calcId="162913"/>
</workbook>
</file>

<file path=xl/calcChain.xml><?xml version="1.0" encoding="utf-8"?>
<calcChain xmlns="http://schemas.openxmlformats.org/spreadsheetml/2006/main">
  <c r="T22" i="27" l="1"/>
  <c r="T23" i="27"/>
  <c r="T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74" i="27"/>
  <c r="T21" i="27"/>
</calcChain>
</file>

<file path=xl/sharedStrings.xml><?xml version="1.0" encoding="utf-8"?>
<sst xmlns="http://schemas.openxmlformats.org/spreadsheetml/2006/main" count="228" uniqueCount="108">
  <si>
    <t>Espèce</t>
  </si>
  <si>
    <t>Multiplexage</t>
  </si>
  <si>
    <t>Nature de la matrice</t>
  </si>
  <si>
    <t>Volume (µl)</t>
  </si>
  <si>
    <t>Estimation concentration nanodrop (ng/µl)</t>
  </si>
  <si>
    <t>ratio 260/280</t>
  </si>
  <si>
    <t>Quantité fournie (µg)</t>
  </si>
  <si>
    <t>Nombre d'échantillons</t>
  </si>
  <si>
    <t>Nombre de lanes</t>
  </si>
  <si>
    <t>Date réception</t>
  </si>
  <si>
    <t>ratio 260/230</t>
  </si>
  <si>
    <t>Validation pré-requis</t>
  </si>
  <si>
    <t>Qté min. de matrice :</t>
  </si>
  <si>
    <t>concentration min. :</t>
  </si>
  <si>
    <t>Pureté 260/280 :</t>
  </si>
  <si>
    <t>Pureté 260/230 :</t>
  </si>
  <si>
    <t>Méthode d'extraction</t>
  </si>
  <si>
    <t>n-plex / non</t>
  </si>
  <si>
    <t>Elution</t>
  </si>
  <si>
    <t>ARN total / ARNm / …</t>
  </si>
  <si>
    <r>
      <t xml:space="preserve">* Vérifier que </t>
    </r>
    <r>
      <rPr>
        <b/>
        <sz val="11"/>
        <color indexed="10"/>
        <rFont val="Calibri"/>
        <family val="2"/>
      </rPr>
      <t>le nom sur le tube correspond au nom inscrit dans le fichier</t>
    </r>
  </si>
  <si>
    <t>eau / TE / lyoph</t>
  </si>
  <si>
    <t>Concentration nanodrop (ng/µl)</t>
  </si>
  <si>
    <t>Génome de référence disponible</t>
  </si>
  <si>
    <t>Référence Génome</t>
  </si>
  <si>
    <t>Référence Transcriptome</t>
  </si>
  <si>
    <t>Transcriptome de référence disponible</t>
  </si>
  <si>
    <r>
      <rPr>
        <b/>
        <sz val="11"/>
        <color indexed="8"/>
        <rFont val="Wingdings 3"/>
        <family val="1"/>
        <charset val="2"/>
      </rPr>
      <t>a</t>
    </r>
    <r>
      <rPr>
        <b/>
        <sz val="11"/>
        <color indexed="8"/>
        <rFont val="Calibri"/>
        <family val="2"/>
      </rPr>
      <t xml:space="preserve"> </t>
    </r>
    <r>
      <rPr>
        <b/>
        <sz val="11"/>
        <color indexed="10"/>
        <rFont val="Calibri"/>
        <family val="2"/>
      </rPr>
      <t>si vos échantillons ne valident pas les pré-requis, contacter la plateforme</t>
    </r>
  </si>
  <si>
    <r>
      <t xml:space="preserve">* Choisir des </t>
    </r>
    <r>
      <rPr>
        <b/>
        <sz val="11"/>
        <color indexed="10"/>
        <rFont val="Calibri"/>
        <family val="2"/>
      </rPr>
      <t>noms d'échantillons courts sans caractères spéciaux</t>
    </r>
    <r>
      <rPr>
        <sz val="11"/>
        <color indexed="10"/>
        <rFont val="Calibri"/>
        <family val="2"/>
      </rPr>
      <t xml:space="preserve"> </t>
    </r>
    <r>
      <rPr>
        <sz val="11"/>
        <color indexed="8"/>
        <rFont val="Calibri"/>
        <family val="2"/>
      </rPr>
      <t>(espaces, virgules, points, underscores …) sauf tiret toléré</t>
    </r>
  </si>
  <si>
    <t>Veuillez choisir vos pre-requis</t>
  </si>
  <si>
    <t>A renseigner par l'équipe de recherche</t>
  </si>
  <si>
    <t>Réservé PlaGe :</t>
  </si>
  <si>
    <t>Code-barres</t>
  </si>
  <si>
    <t>Code-barres echantillon</t>
  </si>
  <si>
    <t>Nom Echantillon</t>
  </si>
  <si>
    <t xml:space="preserve">Pré-requis échantillons pour le projet : </t>
  </si>
  <si>
    <t>Informations sur les échantillons à renseigner par l'équipe de recherche</t>
  </si>
  <si>
    <t>puits sur plaque</t>
  </si>
  <si>
    <t>Support</t>
  </si>
  <si>
    <t>Merci à ne pas modifier ni l'emplacement des colonnes ni leurs titres</t>
  </si>
  <si>
    <t>* Pré-requis ARN sans purif poly-A (ribodéplétés, séquençage des ARN totaux, ARN amplifiés…)</t>
  </si>
  <si>
    <t>300ng</t>
  </si>
  <si>
    <t>50 ng/µl</t>
  </si>
  <si>
    <t>1,8</t>
  </si>
  <si>
    <t>BioAnalyzer :</t>
  </si>
  <si>
    <t>RIN&gt;8,5 ; 28S/18S&gt;1,7*</t>
  </si>
  <si>
    <t>* Pré-requis ARN totaux avec une purif poly-A</t>
  </si>
  <si>
    <t>5µg</t>
  </si>
  <si>
    <t>100 ng/µl</t>
  </si>
  <si>
    <t>*à adapter selon espèce et projet (Procaryotes : 23S/16S&gt;1,2), joindre les profils BioAnalyzer</t>
  </si>
  <si>
    <t>28S/18S</t>
  </si>
  <si>
    <t>RIN</t>
  </si>
  <si>
    <t>Tube</t>
  </si>
  <si>
    <t>GENO57657</t>
  </si>
  <si>
    <t>GENO57658</t>
  </si>
  <si>
    <t>GENO57659</t>
  </si>
  <si>
    <t>GENO57660</t>
  </si>
  <si>
    <t>GENO57661</t>
  </si>
  <si>
    <t>GENO57662</t>
  </si>
  <si>
    <t>GENO57663</t>
  </si>
  <si>
    <t>GENO57664</t>
  </si>
  <si>
    <t>GENO57665</t>
  </si>
  <si>
    <t>GENO57666</t>
  </si>
  <si>
    <t>GENO57667</t>
  </si>
  <si>
    <t>GENO57668</t>
  </si>
  <si>
    <t>GENO57669</t>
  </si>
  <si>
    <t>GENO57670</t>
  </si>
  <si>
    <t>GENO57671</t>
  </si>
  <si>
    <t>GENO57672</t>
  </si>
  <si>
    <t>GENO57673</t>
  </si>
  <si>
    <t>GENO57674</t>
  </si>
  <si>
    <t>GENO57675</t>
  </si>
  <si>
    <t>GENO57676</t>
  </si>
  <si>
    <t>GENO57677</t>
  </si>
  <si>
    <t>GENO57678</t>
  </si>
  <si>
    <t>GENO57679</t>
  </si>
  <si>
    <t>GENO57680</t>
  </si>
  <si>
    <t>GENO57681</t>
  </si>
  <si>
    <t>GENO57682</t>
  </si>
  <si>
    <t>GENO57683</t>
  </si>
  <si>
    <t>GENO57684</t>
  </si>
  <si>
    <t>GENO57685</t>
  </si>
  <si>
    <t>GENO57686</t>
  </si>
  <si>
    <t>GENO57687</t>
  </si>
  <si>
    <t>GENO57688</t>
  </si>
  <si>
    <t>GENO57689</t>
  </si>
  <si>
    <t>GENO57690</t>
  </si>
  <si>
    <t>GENO57691</t>
  </si>
  <si>
    <t>GENO57692</t>
  </si>
  <si>
    <t>GENO57693</t>
  </si>
  <si>
    <t>GENO57694</t>
  </si>
  <si>
    <t>GENO57695</t>
  </si>
  <si>
    <t>GENO57696</t>
  </si>
  <si>
    <t>GENO57697</t>
  </si>
  <si>
    <t>GENO57698</t>
  </si>
  <si>
    <t>GENO57699</t>
  </si>
  <si>
    <t>GENO57700</t>
  </si>
  <si>
    <t>GENO57701</t>
  </si>
  <si>
    <t>GENO57702</t>
  </si>
  <si>
    <t>GENO57703</t>
  </si>
  <si>
    <t>GENO57704</t>
  </si>
  <si>
    <t>GENO57705</t>
  </si>
  <si>
    <t>GENO57706</t>
  </si>
  <si>
    <t>GENO57707</t>
  </si>
  <si>
    <t>GENO57708</t>
  </si>
  <si>
    <t>GENO57709</t>
  </si>
  <si>
    <t>GENO57710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</si>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</sst>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sz val="11"/>
      <color indexed="10"/>
      <name val="Calibri"/>
      <family val="2"/>
    </font>
    <font>
      <b/>
      <i/>
      <sz val="22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indexed="8"/>
      <name val="Wingdings 3"/>
      <family val="1"/>
      <charset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indexed="8"/>
      <name val="Calibri"/>
      <family val="2"/>
    </font>
    <font>
      <b/>
      <i/>
      <sz val="12"/>
      <name val="Calibri"/>
      <family val="2"/>
      <scheme val="minor"/>
    </font>
    <font>
      <b/>
      <i/>
      <sz val="11"/>
      <color theme="8"/>
      <name val="Calibri"/>
      <family val="2"/>
      <scheme val="minor"/>
    </font>
    <font>
      <b/>
      <sz val="12"/>
      <name val="Calibri"/>
      <family val="2"/>
      <scheme val="minor"/>
    </font>
    <font>
      <sz val="11"/>
      <color indexed="17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theme="0"/>
      </right>
      <top style="dashed">
        <color indexed="64"/>
      </top>
      <bottom style="dashed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theme="0" tint="-0.14996795556505021"/>
      </bottom>
      <diagonal/>
    </border>
    <border>
      <left/>
      <right/>
      <top style="medium">
        <color auto="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medium">
        <color auto="1"/>
      </bottom>
      <diagonal/>
    </border>
    <border>
      <left/>
      <right style="medium">
        <color auto="1"/>
      </right>
      <top style="thin">
        <color theme="0" tint="-0.14996795556505021"/>
      </top>
      <bottom style="medium">
        <color auto="1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thin">
        <color theme="0" tint="-0.14996795556505021"/>
      </bottom>
      <diagonal/>
    </border>
    <border>
      <left style="medium">
        <color theme="8" tint="-0.2499465926084170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8" tint="-0.24994659260841701"/>
      </left>
      <right/>
      <top style="thin">
        <color theme="0" tint="-0.14996795556505021"/>
      </top>
      <bottom style="medium">
        <color theme="8" tint="-0.24994659260841701"/>
      </bottom>
      <diagonal/>
    </border>
    <border>
      <left/>
      <right style="medium">
        <color auto="1"/>
      </right>
      <top/>
      <bottom/>
      <diagonal/>
    </border>
    <border>
      <left style="thick">
        <color theme="8" tint="-0.24994659260841701"/>
      </left>
      <right/>
      <top style="thick">
        <color theme="8" tint="-0.24994659260841701"/>
      </top>
      <bottom style="thin">
        <color theme="0" tint="-0.14996795556505021"/>
      </bottom>
      <diagonal/>
    </border>
    <border>
      <left style="thick">
        <color theme="8" tint="-0.2499465926084170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auto="1"/>
      </right>
      <top style="medium">
        <color theme="8" tint="-0.24994659260841701"/>
      </top>
      <bottom style="thin">
        <color theme="0" tint="-0.14996795556505021"/>
      </bottom>
      <diagonal/>
    </border>
    <border>
      <left/>
      <right style="medium">
        <color auto="1"/>
      </right>
      <top style="thin">
        <color theme="0" tint="-0.14996795556505021"/>
      </top>
      <bottom style="medium">
        <color theme="8" tint="-0.24994659260841701"/>
      </bottom>
      <diagonal/>
    </border>
    <border>
      <left/>
      <right style="medium">
        <color auto="1"/>
      </right>
      <top style="thick">
        <color theme="8" tint="-0.24994659260841701"/>
      </top>
      <bottom style="thin">
        <color theme="0" tint="-0.14996795556505021"/>
      </bottom>
      <diagonal/>
    </border>
    <border>
      <left style="thick">
        <color theme="8" tint="-0.24994659260841701"/>
      </left>
      <right/>
      <top style="thin">
        <color theme="0" tint="-0.14996795556505021"/>
      </top>
      <bottom style="medium">
        <color auto="1"/>
      </bottom>
      <diagonal/>
    </border>
    <border>
      <left/>
      <right style="thick">
        <color theme="8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theme="8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medium">
        <color auto="1"/>
      </top>
      <bottom style="medium">
        <color theme="8" tint="-0.24994659260841701"/>
      </bottom>
      <diagonal/>
    </border>
    <border>
      <left/>
      <right style="medium">
        <color auto="1"/>
      </right>
      <top style="medium">
        <color auto="1"/>
      </top>
      <bottom style="medium">
        <color theme="8" tint="-0.24994659260841701"/>
      </bottom>
      <diagonal/>
    </border>
    <border>
      <left/>
      <right style="thick">
        <color theme="8" tint="-0.24994659260841701"/>
      </right>
      <top style="thin">
        <color theme="0" tint="-0.14996795556505021"/>
      </top>
      <bottom style="medium">
        <color auto="1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theme="0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theme="0"/>
      </left>
      <right/>
      <top style="medium">
        <color indexed="64"/>
      </top>
      <bottom style="dashed">
        <color indexed="64"/>
      </bottom>
      <diagonal/>
    </border>
    <border>
      <left style="medium">
        <color theme="0"/>
      </left>
      <right/>
      <top style="dashed">
        <color indexed="64"/>
      </top>
      <bottom style="dashed">
        <color indexed="64"/>
      </bottom>
      <diagonal/>
    </border>
    <border>
      <left style="thin">
        <color theme="5" tint="0.39994506668294322"/>
      </left>
      <right/>
      <top style="thin">
        <color theme="5" tint="0.39994506668294322"/>
      </top>
      <bottom/>
      <diagonal/>
    </border>
    <border>
      <left/>
      <right/>
      <top style="thin">
        <color theme="5" tint="0.39994506668294322"/>
      </top>
      <bottom/>
      <diagonal/>
    </border>
    <border>
      <left/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5" tint="0.39994506668294322"/>
      </left>
      <right/>
      <top/>
      <bottom style="thin">
        <color theme="5" tint="0.39994506668294322"/>
      </bottom>
      <diagonal/>
    </border>
    <border>
      <left/>
      <right/>
      <top/>
      <bottom style="thin">
        <color theme="5" tint="0.39994506668294322"/>
      </bottom>
      <diagonal/>
    </border>
    <border>
      <left/>
      <right style="thin">
        <color theme="5" tint="0.39994506668294322"/>
      </right>
      <top/>
      <bottom style="thin">
        <color theme="5" tint="0.399945066682943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theme="0"/>
      </bottom>
      <diagonal/>
    </border>
    <border>
      <left/>
      <right/>
      <top style="dashed">
        <color indexed="64"/>
      </top>
      <bottom style="medium">
        <color theme="0"/>
      </bottom>
      <diagonal/>
    </border>
    <border>
      <left/>
      <right style="medium">
        <color indexed="64"/>
      </right>
      <top style="dashed">
        <color indexed="64"/>
      </top>
      <bottom style="medium">
        <color theme="0"/>
      </bottom>
      <diagonal/>
    </border>
  </borders>
  <cellStyleXfs count="2">
    <xf numFmtId="0" fontId="0" fillId="0" borderId="0"/>
    <xf numFmtId="0" fontId="1" fillId="0" borderId="0"/>
  </cellStyleXfs>
  <cellXfs count="103">
    <xf numFmtId="0" fontId="0" fillId="0" borderId="0" xfId="0"/>
    <xf numFmtId="0" fontId="0" fillId="2" borderId="1" xfId="0" applyFill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8" fillId="0" borderId="4" xfId="0" applyFont="1" applyFill="1" applyBorder="1" applyAlignment="1" applyProtection="1">
      <alignment horizontal="right"/>
    </xf>
    <xf numFmtId="0" fontId="8" fillId="0" borderId="5" xfId="0" applyFont="1" applyFill="1" applyBorder="1" applyAlignment="1" applyProtection="1">
      <alignment horizontal="right"/>
    </xf>
    <xf numFmtId="0" fontId="0" fillId="0" borderId="6" xfId="0" applyBorder="1" applyAlignment="1" applyProtection="1">
      <alignment vertical="center" wrapText="1"/>
    </xf>
    <xf numFmtId="0" fontId="0" fillId="0" borderId="7" xfId="0" applyBorder="1" applyAlignment="1" applyProtection="1">
      <alignment vertical="center" wrapText="1"/>
    </xf>
    <xf numFmtId="0" fontId="0" fillId="0" borderId="5" xfId="0" applyFont="1" applyFill="1" applyBorder="1" applyAlignment="1" applyProtection="1">
      <alignment horizontal="right" vertical="center" wrapText="1"/>
    </xf>
    <xf numFmtId="0" fontId="0" fillId="0" borderId="5" xfId="0" applyFont="1" applyBorder="1" applyAlignment="1" applyProtection="1">
      <alignment horizontal="right" vertical="center" wrapText="1"/>
    </xf>
    <xf numFmtId="0" fontId="10" fillId="0" borderId="10" xfId="0" applyFont="1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center" wrapText="1"/>
    </xf>
    <xf numFmtId="0" fontId="0" fillId="0" borderId="10" xfId="0" applyBorder="1" applyAlignment="1" applyProtection="1">
      <alignment vertical="center"/>
    </xf>
    <xf numFmtId="0" fontId="0" fillId="0" borderId="11" xfId="0" applyBorder="1" applyAlignment="1" applyProtection="1">
      <alignment vertical="center" wrapText="1"/>
    </xf>
    <xf numFmtId="0" fontId="0" fillId="0" borderId="13" xfId="0" applyBorder="1" applyAlignment="1" applyProtection="1">
      <alignment vertical="center"/>
    </xf>
    <xf numFmtId="0" fontId="0" fillId="0" borderId="14" xfId="0" applyBorder="1" applyAlignment="1" applyProtection="1">
      <alignment vertical="center" wrapText="1"/>
    </xf>
    <xf numFmtId="0" fontId="0" fillId="0" borderId="15" xfId="0" applyBorder="1" applyAlignment="1" applyProtection="1">
      <alignment vertical="center" wrapText="1"/>
    </xf>
    <xf numFmtId="0" fontId="0" fillId="0" borderId="16" xfId="0" applyBorder="1" applyAlignment="1" applyProtection="1">
      <alignment vertical="center" wrapText="1"/>
    </xf>
    <xf numFmtId="0" fontId="7" fillId="3" borderId="2" xfId="0" applyFont="1" applyFill="1" applyBorder="1" applyAlignment="1" applyProtection="1">
      <alignment horizontal="center" vertical="center" wrapText="1"/>
    </xf>
    <xf numFmtId="0" fontId="7" fillId="3" borderId="3" xfId="0" applyFont="1" applyFill="1" applyBorder="1" applyAlignment="1" applyProtection="1">
      <alignment horizontal="center" vertical="center" wrapText="1"/>
    </xf>
    <xf numFmtId="164" fontId="12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0" fillId="2" borderId="1" xfId="0" applyNumberFormat="1" applyFill="1" applyBorder="1" applyAlignment="1" applyProtection="1">
      <alignment horizontal="center" vertical="center" wrapText="1"/>
    </xf>
    <xf numFmtId="0" fontId="0" fillId="0" borderId="17" xfId="0" applyBorder="1" applyAlignment="1" applyProtection="1">
      <alignment vertical="center" wrapText="1"/>
    </xf>
    <xf numFmtId="0" fontId="0" fillId="0" borderId="18" xfId="0" applyBorder="1" applyAlignment="1" applyProtection="1">
      <alignment vertical="center" wrapText="1"/>
    </xf>
    <xf numFmtId="0" fontId="0" fillId="2" borderId="26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27" xfId="0" applyBorder="1" applyAlignment="1">
      <alignment horizontal="left"/>
    </xf>
    <xf numFmtId="0" fontId="0" fillId="2" borderId="28" xfId="0" applyFill="1" applyBorder="1" applyAlignment="1" applyProtection="1">
      <alignment horizontal="left" vertical="center"/>
      <protection locked="0"/>
    </xf>
    <xf numFmtId="0" fontId="0" fillId="2" borderId="29" xfId="0" applyFill="1" applyBorder="1" applyAlignment="1" applyProtection="1">
      <alignment horizontal="left" vertical="center"/>
      <protection locked="0"/>
    </xf>
    <xf numFmtId="0" fontId="0" fillId="2" borderId="29" xfId="0" applyFont="1" applyFill="1" applyBorder="1" applyAlignment="1" applyProtection="1">
      <alignment horizontal="left" vertical="center"/>
      <protection locked="0"/>
    </xf>
    <xf numFmtId="0" fontId="0" fillId="2" borderId="31" xfId="0" applyFill="1" applyBorder="1" applyAlignment="1" applyProtection="1">
      <alignment horizontal="left" vertical="center"/>
      <protection locked="0"/>
    </xf>
    <xf numFmtId="0" fontId="0" fillId="2" borderId="32" xfId="0" applyFill="1" applyBorder="1" applyAlignment="1" applyProtection="1">
      <alignment horizontal="left" vertical="center"/>
      <protection locked="0"/>
    </xf>
    <xf numFmtId="0" fontId="9" fillId="3" borderId="2" xfId="0" applyFont="1" applyFill="1" applyBorder="1" applyAlignment="1" applyProtection="1">
      <alignment horizontal="center" vertical="center" wrapText="1"/>
    </xf>
    <xf numFmtId="0" fontId="9" fillId="0" borderId="39" xfId="0" applyFont="1" applyFill="1" applyBorder="1" applyAlignment="1" applyProtection="1">
      <alignment horizontal="left"/>
    </xf>
    <xf numFmtId="0" fontId="9" fillId="0" borderId="40" xfId="0" applyFont="1" applyFill="1" applyBorder="1" applyAlignment="1" applyProtection="1">
      <alignment horizontal="left"/>
    </xf>
    <xf numFmtId="0" fontId="0" fillId="0" borderId="40" xfId="0" applyFont="1" applyFill="1" applyBorder="1" applyAlignment="1" applyProtection="1">
      <alignment horizontal="left" vertical="center" wrapText="1"/>
    </xf>
    <xf numFmtId="0" fontId="0" fillId="0" borderId="40" xfId="0" applyFont="1" applyBorder="1" applyAlignment="1" applyProtection="1">
      <alignment horizontal="left" vertical="center" wrapText="1"/>
    </xf>
    <xf numFmtId="0" fontId="9" fillId="0" borderId="41" xfId="0" applyFont="1" applyFill="1" applyBorder="1" applyAlignment="1" applyProtection="1">
      <alignment horizontal="left"/>
    </xf>
    <xf numFmtId="0" fontId="9" fillId="0" borderId="42" xfId="0" applyFont="1" applyFill="1" applyBorder="1" applyAlignment="1" applyProtection="1">
      <alignment horizontal="left"/>
    </xf>
    <xf numFmtId="0" fontId="0" fillId="0" borderId="42" xfId="0" applyFont="1" applyFill="1" applyBorder="1" applyAlignment="1" applyProtection="1">
      <alignment horizontal="left" vertical="center" wrapText="1"/>
    </xf>
    <xf numFmtId="0" fontId="0" fillId="0" borderId="42" xfId="0" applyFont="1" applyBorder="1" applyAlignment="1" applyProtection="1">
      <alignment horizontal="left" vertical="center" wrapText="1"/>
    </xf>
    <xf numFmtId="0" fontId="9" fillId="0" borderId="4" xfId="0" applyFont="1" applyFill="1" applyBorder="1" applyAlignment="1" applyProtection="1">
      <alignment horizontal="left"/>
    </xf>
    <xf numFmtId="0" fontId="9" fillId="0" borderId="5" xfId="0" applyFont="1" applyFill="1" applyBorder="1" applyAlignment="1" applyProtection="1">
      <alignment horizontal="left"/>
    </xf>
    <xf numFmtId="0" fontId="0" fillId="0" borderId="5" xfId="0" applyFont="1" applyFill="1" applyBorder="1" applyAlignment="1" applyProtection="1">
      <alignment horizontal="left" vertical="center" wrapText="1"/>
    </xf>
    <xf numFmtId="0" fontId="0" fillId="0" borderId="5" xfId="0" applyFont="1" applyBorder="1" applyAlignment="1" applyProtection="1">
      <alignment horizontal="left" vertical="center" wrapText="1"/>
    </xf>
    <xf numFmtId="0" fontId="0" fillId="2" borderId="25" xfId="0" applyFont="1" applyFill="1" applyBorder="1" applyAlignment="1" applyProtection="1">
      <alignment horizontal="left" vertical="center"/>
      <protection locked="0"/>
    </xf>
    <xf numFmtId="0" fontId="0" fillId="2" borderId="21" xfId="0" applyFont="1" applyFill="1" applyBorder="1" applyAlignment="1" applyProtection="1">
      <alignment horizontal="left" vertical="center"/>
      <protection locked="0"/>
    </xf>
    <xf numFmtId="0" fontId="0" fillId="2" borderId="25" xfId="0" applyFill="1" applyBorder="1" applyAlignment="1" applyProtection="1">
      <alignment horizontal="left" vertical="center"/>
      <protection locked="0"/>
    </xf>
    <xf numFmtId="0" fontId="0" fillId="2" borderId="21" xfId="0" applyFill="1" applyBorder="1" applyAlignment="1" applyProtection="1">
      <alignment horizontal="left" vertical="center"/>
      <protection locked="0"/>
    </xf>
    <xf numFmtId="0" fontId="13" fillId="2" borderId="49" xfId="0" applyFont="1" applyFill="1" applyBorder="1" applyAlignment="1" applyProtection="1">
      <alignment horizontal="left" vertical="center"/>
    </xf>
    <xf numFmtId="0" fontId="13" fillId="2" borderId="50" xfId="0" applyFont="1" applyFill="1" applyBorder="1" applyAlignment="1" applyProtection="1">
      <alignment horizontal="left" vertical="center"/>
    </xf>
    <xf numFmtId="0" fontId="13" fillId="2" borderId="51" xfId="0" applyFont="1" applyFill="1" applyBorder="1" applyAlignment="1" applyProtection="1">
      <alignment horizontal="left" vertical="center"/>
    </xf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164" fontId="17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2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/>
    <xf numFmtId="164" fontId="0" fillId="2" borderId="1" xfId="0" applyNumberFormat="1" applyFill="1" applyBorder="1" applyAlignment="1" applyProtection="1">
      <alignment horizontal="center" vertical="center" wrapText="1"/>
      <protection locked="0"/>
    </xf>
    <xf numFmtId="0" fontId="20" fillId="2" borderId="1" xfId="0" applyFont="1" applyFill="1" applyBorder="1" applyAlignment="1" applyProtection="1">
      <alignment horizontal="center" vertical="center" wrapText="1"/>
      <protection locked="0"/>
    </xf>
    <xf numFmtId="0" fontId="8" fillId="6" borderId="1" xfId="0" applyFont="1" applyFill="1" applyBorder="1" applyAlignment="1" applyProtection="1">
      <alignment horizontal="center" vertical="center" wrapText="1"/>
      <protection locked="0"/>
    </xf>
    <xf numFmtId="0" fontId="20" fillId="6" borderId="1" xfId="0" applyFont="1" applyFill="1" applyBorder="1" applyAlignment="1" applyProtection="1">
      <alignment horizontal="center" vertical="center" wrapText="1"/>
      <protection locked="0"/>
    </xf>
    <xf numFmtId="0" fontId="0" fillId="4" borderId="43" xfId="0" applyFill="1" applyBorder="1" applyAlignment="1">
      <alignment horizontal="center" vertical="center"/>
    </xf>
    <xf numFmtId="0" fontId="0" fillId="4" borderId="44" xfId="0" applyFill="1" applyBorder="1" applyAlignment="1">
      <alignment horizontal="center" vertical="center"/>
    </xf>
    <xf numFmtId="0" fontId="0" fillId="4" borderId="45" xfId="0" applyFill="1" applyBorder="1" applyAlignment="1">
      <alignment horizontal="center" vertical="center"/>
    </xf>
    <xf numFmtId="0" fontId="0" fillId="4" borderId="46" xfId="0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0" borderId="8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6" fillId="0" borderId="22" xfId="0" applyFont="1" applyBorder="1" applyAlignment="1" applyProtection="1">
      <alignment horizontal="right" vertical="center"/>
    </xf>
    <xf numFmtId="0" fontId="6" fillId="0" borderId="38" xfId="0" applyFont="1" applyBorder="1" applyAlignment="1" applyProtection="1">
      <alignment horizontal="right" vertical="center"/>
    </xf>
    <xf numFmtId="0" fontId="0" fillId="2" borderId="33" xfId="0" applyFill="1" applyBorder="1" applyAlignment="1" applyProtection="1">
      <alignment horizontal="left" vertical="center"/>
      <protection locked="0"/>
    </xf>
    <xf numFmtId="0" fontId="0" fillId="2" borderId="23" xfId="0" applyFill="1" applyBorder="1" applyAlignment="1" applyProtection="1">
      <alignment horizontal="left" vertical="center"/>
      <protection locked="0"/>
    </xf>
    <xf numFmtId="0" fontId="16" fillId="2" borderId="49" xfId="0" applyFont="1" applyFill="1" applyBorder="1" applyAlignment="1" applyProtection="1">
      <alignment horizontal="center" vertical="center" wrapText="1"/>
    </xf>
    <xf numFmtId="0" fontId="16" fillId="2" borderId="50" xfId="0" applyFont="1" applyFill="1" applyBorder="1" applyAlignment="1" applyProtection="1">
      <alignment horizontal="center" vertical="center" wrapText="1"/>
    </xf>
    <xf numFmtId="0" fontId="16" fillId="2" borderId="51" xfId="0" applyFont="1" applyFill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right" vertical="center"/>
    </xf>
    <xf numFmtId="0" fontId="2" fillId="0" borderId="20" xfId="0" applyFont="1" applyBorder="1" applyAlignment="1" applyProtection="1">
      <alignment horizontal="right" vertical="center"/>
    </xf>
    <xf numFmtId="0" fontId="6" fillId="0" borderId="19" xfId="0" applyFont="1" applyBorder="1" applyAlignment="1" applyProtection="1">
      <alignment horizontal="right" vertical="center"/>
    </xf>
    <xf numFmtId="0" fontId="6" fillId="0" borderId="34" xfId="0" applyFont="1" applyBorder="1" applyAlignment="1" applyProtection="1">
      <alignment horizontal="right" vertical="center"/>
    </xf>
    <xf numFmtId="0" fontId="15" fillId="5" borderId="49" xfId="0" applyFont="1" applyFill="1" applyBorder="1" applyAlignment="1" applyProtection="1">
      <alignment horizontal="center" vertical="center" wrapText="1"/>
    </xf>
    <xf numFmtId="0" fontId="15" fillId="5" borderId="50" xfId="0" applyFont="1" applyFill="1" applyBorder="1" applyAlignment="1" applyProtection="1">
      <alignment horizontal="center" vertical="center" wrapText="1"/>
    </xf>
    <xf numFmtId="0" fontId="15" fillId="5" borderId="51" xfId="0" applyFont="1" applyFill="1" applyBorder="1" applyAlignment="1" applyProtection="1">
      <alignment horizontal="center" vertical="center" wrapText="1"/>
    </xf>
    <xf numFmtId="0" fontId="5" fillId="3" borderId="0" xfId="0" applyFont="1" applyFill="1" applyBorder="1" applyAlignment="1" applyProtection="1">
      <alignment horizontal="left" vertical="center"/>
    </xf>
    <xf numFmtId="0" fontId="2" fillId="0" borderId="19" xfId="0" applyFont="1" applyBorder="1" applyAlignment="1">
      <alignment horizontal="right" vertical="center"/>
    </xf>
    <xf numFmtId="0" fontId="2" fillId="0" borderId="35" xfId="0" applyFont="1" applyBorder="1" applyAlignment="1">
      <alignment horizontal="right" vertical="center"/>
    </xf>
    <xf numFmtId="0" fontId="14" fillId="5" borderId="49" xfId="0" applyFont="1" applyFill="1" applyBorder="1" applyAlignment="1" applyProtection="1">
      <alignment horizontal="center" vertical="center"/>
    </xf>
    <xf numFmtId="0" fontId="14" fillId="5" borderId="50" xfId="0" applyFont="1" applyFill="1" applyBorder="1" applyAlignment="1" applyProtection="1">
      <alignment horizontal="center" vertical="center"/>
    </xf>
    <xf numFmtId="0" fontId="14" fillId="5" borderId="51" xfId="0" applyFont="1" applyFill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right" vertical="center"/>
    </xf>
    <xf numFmtId="0" fontId="0" fillId="0" borderId="36" xfId="0" applyBorder="1" applyAlignment="1" applyProtection="1">
      <alignment vertical="center" wrapText="1"/>
    </xf>
    <xf numFmtId="0" fontId="0" fillId="0" borderId="37" xfId="0" applyBorder="1" applyAlignment="1" applyProtection="1">
      <alignment vertical="center" wrapText="1"/>
    </xf>
    <xf numFmtId="0" fontId="0" fillId="2" borderId="24" xfId="0" applyFill="1" applyBorder="1" applyAlignment="1" applyProtection="1">
      <alignment horizontal="left" vertical="center"/>
      <protection locked="0"/>
    </xf>
    <xf numFmtId="0" fontId="0" fillId="2" borderId="30" xfId="0" applyFill="1" applyBorder="1" applyAlignment="1" applyProtection="1">
      <alignment horizontal="left" vertical="center"/>
      <protection locked="0"/>
    </xf>
    <xf numFmtId="0" fontId="0" fillId="2" borderId="25" xfId="0" applyFill="1" applyBorder="1" applyAlignment="1" applyProtection="1">
      <alignment horizontal="left" vertical="center"/>
      <protection locked="0"/>
    </xf>
    <xf numFmtId="0" fontId="0" fillId="2" borderId="21" xfId="0" applyFill="1" applyBorder="1" applyAlignment="1" applyProtection="1">
      <alignment horizontal="left" vertical="center"/>
      <protection locked="0"/>
    </xf>
    <xf numFmtId="0" fontId="0" fillId="2" borderId="25" xfId="0" applyFont="1" applyFill="1" applyBorder="1" applyAlignment="1" applyProtection="1">
      <alignment horizontal="left" vertical="center"/>
      <protection locked="0"/>
    </xf>
    <xf numFmtId="0" fontId="0" fillId="2" borderId="21" xfId="0" applyFont="1" applyFill="1" applyBorder="1" applyAlignment="1" applyProtection="1">
      <alignment horizontal="left" vertical="center"/>
      <protection locked="0"/>
    </xf>
    <xf numFmtId="0" fontId="0" fillId="0" borderId="52" xfId="0" applyFont="1" applyBorder="1" applyAlignment="1" applyProtection="1">
      <alignment horizontal="left" vertical="center" wrapText="1"/>
    </xf>
    <xf numFmtId="0" fontId="0" fillId="0" borderId="53" xfId="0" applyFont="1" applyBorder="1" applyAlignment="1" applyProtection="1">
      <alignment horizontal="left" vertical="center" wrapText="1"/>
    </xf>
    <xf numFmtId="0" fontId="0" fillId="0" borderId="54" xfId="0" applyFont="1" applyBorder="1" applyAlignment="1" applyProtection="1">
      <alignment horizontal="left" vertical="center" wrapText="1"/>
    </xf>
  </cellXfs>
  <cellStyles count="2">
    <cellStyle name="Excel Built-in Normal" xfId="1"/>
    <cellStyle name="Normal" xfId="0" builtinId="0"/>
  </cellStyles>
  <dxfs count="2">
    <dxf>
      <font>
        <color theme="0"/>
      </font>
      <fill>
        <patternFill>
          <bgColor rgb="FFFF7C80"/>
        </patternFill>
      </fill>
    </dxf>
    <dxf>
      <font>
        <color theme="0"/>
      </font>
      <fill>
        <patternFill>
          <bgColor rgb="FFFF7C80"/>
        </patternFill>
      </fill>
    </dxf>
  </dxfs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8</xdr:col>
          <xdr:colOff>19050</xdr:colOff>
          <xdr:row>15</xdr:row>
          <xdr:rowOff>19050</xdr:rowOff>
        </xdr:to>
        <xdr:sp macro="" textlink="">
          <xdr:nvSpPr>
            <xdr:cNvPr id="1033" name="CommandButton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9525</xdr:rowOff>
        </xdr:from>
        <xdr:to>
          <xdr:col>8</xdr:col>
          <xdr:colOff>19050</xdr:colOff>
          <xdr:row>23</xdr:row>
          <xdr:rowOff>19050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16</xdr:row>
          <xdr:rowOff>0</xdr:rowOff>
        </xdr:from>
        <xdr:to>
          <xdr:col>13</xdr:col>
          <xdr:colOff>9525</xdr:colOff>
          <xdr:row>23</xdr:row>
          <xdr:rowOff>9525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8</xdr:row>
          <xdr:rowOff>19050</xdr:rowOff>
        </xdr:from>
        <xdr:to>
          <xdr:col>13</xdr:col>
          <xdr:colOff>9525</xdr:colOff>
          <xdr:row>15</xdr:row>
          <xdr:rowOff>28575</xdr:rowOff>
        </xdr:to>
        <xdr:sp macro="" textlink="">
          <xdr:nvSpPr>
            <xdr:cNvPr id="1036" name="CommandButton4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1190625</xdr:colOff>
          <xdr:row>17</xdr:row>
          <xdr:rowOff>9525</xdr:rowOff>
        </xdr:from>
        <xdr:to>
          <xdr:col>13</xdr:col>
          <xdr:colOff>1190625</xdr:colOff>
          <xdr:row>18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161925</xdr:rowOff>
        </xdr:from>
        <xdr:to>
          <xdr:col>14</xdr:col>
          <xdr:colOff>0</xdr:colOff>
          <xdr:row>16</xdr:row>
          <xdr:rowOff>76200</xdr:rowOff>
        </xdr:to>
        <xdr:sp macro="" textlink="">
          <xdr:nvSpPr>
            <xdr:cNvPr id="2074" name="CommandButton2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E3:M4"/>
  <sheetViews>
    <sheetView workbookViewId="0">
      <selection activeCell="I26" sqref="I26"/>
    </sheetView>
  </sheetViews>
  <sheetFormatPr baseColWidth="10" defaultRowHeight="15" x14ac:dyDescent="0.25"/>
  <sheetData>
    <row r="3" spans="5:13" x14ac:dyDescent="0.25">
      <c r="E3" s="62" t="s">
        <v>29</v>
      </c>
      <c r="F3" s="63"/>
      <c r="G3" s="63"/>
      <c r="H3" s="63"/>
      <c r="I3" s="63"/>
      <c r="J3" s="63"/>
      <c r="K3" s="63"/>
      <c r="L3" s="63"/>
      <c r="M3" s="64"/>
    </row>
    <row r="4" spans="5:13" x14ac:dyDescent="0.25">
      <c r="E4" s="65"/>
      <c r="F4" s="66"/>
      <c r="G4" s="66"/>
      <c r="H4" s="66"/>
      <c r="I4" s="66"/>
      <c r="J4" s="66"/>
      <c r="K4" s="66"/>
      <c r="L4" s="66"/>
      <c r="M4" s="67"/>
    </row>
  </sheetData>
  <mergeCells count="1">
    <mergeCell ref="E3:M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ommandButton4">
          <controlPr defaultSize="0" autoLine="0" r:id="rId5">
            <anchor moveWithCells="1">
              <from>
                <xdr:col>8</xdr:col>
                <xdr:colOff>752475</xdr:colOff>
                <xdr:row>8</xdr:row>
                <xdr:rowOff>19050</xdr:rowOff>
              </from>
              <to>
                <xdr:col>13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1036" r:id="rId4" name="CommandButton4"/>
      </mc:Fallback>
    </mc:AlternateContent>
    <mc:AlternateContent xmlns:mc="http://schemas.openxmlformats.org/markup-compatibility/2006">
      <mc:Choice Requires="x14">
        <control shapeId="1035" r:id="rId6" name="CommandButton3">
          <controlPr defaultSize="0" autoLine="0" r:id="rId7">
            <anchor moveWithCells="1">
              <from>
                <xdr:col>8</xdr:col>
                <xdr:colOff>752475</xdr:colOff>
                <xdr:row>16</xdr:row>
                <xdr:rowOff>0</xdr:rowOff>
              </from>
              <to>
                <xdr:col>13</xdr:col>
                <xdr:colOff>9525</xdr:colOff>
                <xdr:row>23</xdr:row>
                <xdr:rowOff>9525</xdr:rowOff>
              </to>
            </anchor>
          </controlPr>
        </control>
      </mc:Choice>
      <mc:Fallback>
        <control shapeId="1035" r:id="rId6" name="CommandButton3"/>
      </mc:Fallback>
    </mc:AlternateContent>
    <mc:AlternateContent xmlns:mc="http://schemas.openxmlformats.org/markup-compatibility/2006">
      <mc:Choice Requires="x14">
        <control shapeId="1034" r:id="rId8" name="CommandButton2">
          <controlPr defaultSize="0" autoLine="0" r:id="rId9">
            <anchor moveWithCells="1">
              <from>
                <xdr:col>4</xdr:col>
                <xdr:colOff>0</xdr:colOff>
                <xdr:row>16</xdr:row>
                <xdr:rowOff>9525</xdr:rowOff>
              </from>
              <to>
                <xdr:col>8</xdr:col>
                <xdr:colOff>19050</xdr:colOff>
                <xdr:row>23</xdr:row>
                <xdr:rowOff>19050</xdr:rowOff>
              </to>
            </anchor>
          </controlPr>
        </control>
      </mc:Choice>
      <mc:Fallback>
        <control shapeId="1034" r:id="rId8" name="CommandButton2"/>
      </mc:Fallback>
    </mc:AlternateContent>
    <mc:AlternateContent xmlns:mc="http://schemas.openxmlformats.org/markup-compatibility/2006">
      <mc:Choice Requires="x14">
        <control shapeId="1033" r:id="rId10" name="CommandButton1">
          <controlPr defaultSize="0" autoLine="0" r:id="rId11">
            <anchor moveWithCells="1">
              <from>
                <xdr:col>4</xdr:col>
                <xdr:colOff>0</xdr:colOff>
                <xdr:row>8</xdr:row>
                <xdr:rowOff>9525</xdr:rowOff>
              </from>
              <to>
                <xdr:col>8</xdr:col>
                <xdr:colOff>19050</xdr:colOff>
                <xdr:row>15</xdr:row>
                <xdr:rowOff>19050</xdr:rowOff>
              </to>
            </anchor>
          </controlPr>
        </control>
      </mc:Choice>
      <mc:Fallback>
        <control shapeId="1033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X191"/>
  <sheetViews>
    <sheetView tabSelected="1" topLeftCell="H3" zoomScale="85" zoomScaleNormal="85" workbookViewId="0">
      <selection activeCell="L20" sqref="L20:U74"/>
    </sheetView>
  </sheetViews>
  <sheetFormatPr baseColWidth="10" defaultRowHeight="15" x14ac:dyDescent="0.25"/>
  <cols>
    <col min="1" max="1" width="13.7109375" customWidth="1"/>
    <col min="2" max="3" width="22.7109375" customWidth="1"/>
    <col min="4" max="4" width="22.5703125" customWidth="1"/>
    <col min="5" max="5" width="22.85546875" customWidth="1"/>
    <col min="6" max="7" width="22.7109375" customWidth="1"/>
    <col min="8" max="8" width="22.85546875" customWidth="1"/>
    <col min="9" max="10" width="22.7109375" customWidth="1"/>
    <col min="12" max="12" width="17.28515625" customWidth="1"/>
    <col min="13" max="14" width="18" customWidth="1"/>
    <col min="15" max="15" width="17.42578125" customWidth="1"/>
    <col min="16" max="16" width="17.28515625" customWidth="1"/>
    <col min="17" max="19" width="18.42578125" customWidth="1"/>
    <col min="20" max="20" width="17.5703125" customWidth="1"/>
    <col min="21" max="21" width="17" customWidth="1"/>
  </cols>
  <sheetData>
    <row r="1" spans="1:24" ht="28.5" x14ac:dyDescent="0.25">
      <c r="A1" s="85" t="s">
        <v>35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</row>
    <row r="2" spans="1:24" ht="15.75" thickBot="1" x14ac:dyDescent="0.3"/>
    <row r="3" spans="1:24" ht="16.5" thickBot="1" x14ac:dyDescent="0.3">
      <c r="B3" s="50" t="s">
        <v>40</v>
      </c>
      <c r="C3" s="51"/>
      <c r="D3" s="51" t="s">
        <v>46</v>
      </c>
      <c r="E3" s="52"/>
      <c r="I3" s="88" t="s">
        <v>30</v>
      </c>
      <c r="J3" s="89"/>
      <c r="K3" s="89"/>
      <c r="L3" s="90"/>
    </row>
    <row r="4" spans="1:24" ht="15.75" thickBot="1" x14ac:dyDescent="0.3">
      <c r="B4" s="4" t="s">
        <v>12</v>
      </c>
      <c r="C4" s="38" t="s">
        <v>41</v>
      </c>
      <c r="D4" s="42" t="s">
        <v>12</v>
      </c>
      <c r="E4" s="34" t="s">
        <v>47</v>
      </c>
      <c r="I4" s="23"/>
      <c r="J4" s="24"/>
      <c r="K4" s="92"/>
      <c r="L4" s="93"/>
    </row>
    <row r="5" spans="1:24" x14ac:dyDescent="0.25">
      <c r="B5" s="5" t="s">
        <v>13</v>
      </c>
      <c r="C5" s="39" t="s">
        <v>42</v>
      </c>
      <c r="D5" s="43" t="s">
        <v>13</v>
      </c>
      <c r="E5" s="35" t="s">
        <v>48</v>
      </c>
      <c r="I5" s="86" t="s">
        <v>2</v>
      </c>
      <c r="J5" s="87"/>
      <c r="K5" s="94" t="s">
        <v>19</v>
      </c>
      <c r="L5" s="95"/>
    </row>
    <row r="6" spans="1:24" x14ac:dyDescent="0.25">
      <c r="B6" s="8" t="s">
        <v>14</v>
      </c>
      <c r="C6" s="40" t="s">
        <v>43</v>
      </c>
      <c r="D6" s="44" t="s">
        <v>14</v>
      </c>
      <c r="E6" s="36" t="s">
        <v>43</v>
      </c>
      <c r="I6" s="86" t="s">
        <v>0</v>
      </c>
      <c r="J6" s="87"/>
      <c r="K6" s="96"/>
      <c r="L6" s="97"/>
    </row>
    <row r="7" spans="1:24" x14ac:dyDescent="0.25">
      <c r="B7" s="9" t="s">
        <v>15</v>
      </c>
      <c r="C7" s="41" t="s">
        <v>43</v>
      </c>
      <c r="D7" s="45" t="s">
        <v>15</v>
      </c>
      <c r="E7" s="37" t="s">
        <v>43</v>
      </c>
      <c r="I7" s="86" t="s">
        <v>16</v>
      </c>
      <c r="J7" s="87"/>
      <c r="K7" s="98"/>
      <c r="L7" s="99"/>
    </row>
    <row r="8" spans="1:24" x14ac:dyDescent="0.25">
      <c r="B8" s="9" t="s">
        <v>44</v>
      </c>
      <c r="C8" s="41" t="s">
        <v>45</v>
      </c>
      <c r="D8" s="45" t="s">
        <v>44</v>
      </c>
      <c r="E8" s="37" t="s">
        <v>45</v>
      </c>
      <c r="I8" s="86" t="s">
        <v>18</v>
      </c>
      <c r="J8" s="87"/>
      <c r="K8" s="48" t="s">
        <v>21</v>
      </c>
      <c r="L8" s="49"/>
    </row>
    <row r="9" spans="1:24" ht="15.75" thickBot="1" x14ac:dyDescent="0.3">
      <c r="B9" s="100" t="s">
        <v>49</v>
      </c>
      <c r="C9" s="101"/>
      <c r="D9" s="101"/>
      <c r="E9" s="102"/>
      <c r="I9" s="78" t="s">
        <v>7</v>
      </c>
      <c r="J9" s="91"/>
      <c r="K9" s="46">
        <v>54</v>
      </c>
      <c r="L9" s="47"/>
    </row>
    <row r="10" spans="1:24" ht="15.75" thickBot="1" x14ac:dyDescent="0.3">
      <c r="B10" s="10" t="s">
        <v>27</v>
      </c>
      <c r="C10" s="11"/>
      <c r="D10" s="12"/>
      <c r="E10" s="7"/>
      <c r="I10" s="78" t="s">
        <v>8</v>
      </c>
      <c r="J10" s="91"/>
      <c r="K10" s="46"/>
      <c r="L10" s="47"/>
    </row>
    <row r="11" spans="1:24" ht="15.75" thickBot="1" x14ac:dyDescent="0.3">
      <c r="B11" s="13"/>
      <c r="C11" s="14"/>
      <c r="D11" s="6"/>
      <c r="E11" s="7"/>
      <c r="I11" s="78" t="s">
        <v>1</v>
      </c>
      <c r="J11" s="91"/>
      <c r="K11" s="25" t="s">
        <v>17</v>
      </c>
      <c r="L11" s="31"/>
    </row>
    <row r="12" spans="1:24" ht="31.5" customHeight="1" thickBot="1" x14ac:dyDescent="0.3">
      <c r="B12" s="68" t="s">
        <v>28</v>
      </c>
      <c r="C12" s="69"/>
      <c r="D12" s="69"/>
      <c r="E12" s="70"/>
      <c r="I12" s="78"/>
      <c r="J12" s="79"/>
      <c r="K12" s="26"/>
      <c r="L12" s="27"/>
    </row>
    <row r="13" spans="1:24" ht="16.5" thickTop="1" thickBot="1" x14ac:dyDescent="0.3">
      <c r="B13" s="15" t="s">
        <v>20</v>
      </c>
      <c r="C13" s="16"/>
      <c r="D13" s="17"/>
      <c r="E13" s="18"/>
      <c r="I13" s="80" t="s">
        <v>23</v>
      </c>
      <c r="J13" s="81"/>
      <c r="K13" s="28"/>
      <c r="L13" s="32"/>
    </row>
    <row r="14" spans="1:24" x14ac:dyDescent="0.25">
      <c r="I14" s="80" t="s">
        <v>26</v>
      </c>
      <c r="J14" s="81"/>
      <c r="K14" s="29"/>
      <c r="L14" s="49"/>
    </row>
    <row r="15" spans="1:24" x14ac:dyDescent="0.25">
      <c r="I15" s="80" t="s">
        <v>24</v>
      </c>
      <c r="J15" s="81"/>
      <c r="K15" s="30"/>
      <c r="L15" s="47"/>
    </row>
    <row r="16" spans="1:24" ht="15.75" thickBot="1" x14ac:dyDescent="0.3">
      <c r="I16" s="71" t="s">
        <v>25</v>
      </c>
      <c r="J16" s="72"/>
      <c r="K16" s="73"/>
      <c r="L16" s="74"/>
    </row>
    <row r="17" spans="1:21" ht="23.25" x14ac:dyDescent="0.35">
      <c r="B17" s="57" t="s">
        <v>39</v>
      </c>
    </row>
    <row r="18" spans="1:21" ht="15.75" thickBot="1" x14ac:dyDescent="0.3"/>
    <row r="19" spans="1:21" ht="16.5" customHeight="1" thickBot="1" x14ac:dyDescent="0.3">
      <c r="A19" s="82" t="s">
        <v>36</v>
      </c>
      <c r="B19" s="83"/>
      <c r="C19" s="83"/>
      <c r="D19" s="83"/>
      <c r="E19" s="83"/>
      <c r="F19" s="83"/>
      <c r="G19" s="83"/>
      <c r="H19" s="83"/>
      <c r="I19" s="83"/>
      <c r="J19" s="84"/>
      <c r="L19" s="75" t="s">
        <v>31</v>
      </c>
      <c r="M19" s="76"/>
      <c r="N19" s="76"/>
      <c r="O19" s="76"/>
      <c r="P19" s="76"/>
      <c r="Q19" s="76"/>
      <c r="R19" s="76"/>
      <c r="S19" s="76"/>
      <c r="T19" s="76"/>
      <c r="U19" s="77"/>
    </row>
    <row r="20" spans="1:21" ht="45" x14ac:dyDescent="0.25">
      <c r="A20" s="2" t="s">
        <v>38</v>
      </c>
      <c r="B20" s="2" t="s">
        <v>37</v>
      </c>
      <c r="C20" s="33" t="s">
        <v>34</v>
      </c>
      <c r="D20" s="20" t="s">
        <v>4</v>
      </c>
      <c r="E20" s="20" t="s">
        <v>5</v>
      </c>
      <c r="F20" s="20" t="s">
        <v>10</v>
      </c>
      <c r="G20" s="20" t="s">
        <v>51</v>
      </c>
      <c r="H20" s="20" t="s">
        <v>50</v>
      </c>
      <c r="I20" s="20" t="s">
        <v>3</v>
      </c>
      <c r="J20" s="20" t="s">
        <v>6</v>
      </c>
      <c r="L20" s="19" t="s">
        <v>9</v>
      </c>
      <c r="M20" s="19" t="s">
        <v>32</v>
      </c>
      <c r="N20" s="20" t="s">
        <v>33</v>
      </c>
      <c r="O20" s="20" t="s">
        <v>22</v>
      </c>
      <c r="P20" s="20" t="s">
        <v>5</v>
      </c>
      <c r="Q20" s="20" t="s">
        <v>10</v>
      </c>
      <c r="R20" s="20" t="s">
        <v>51</v>
      </c>
      <c r="S20" s="20" t="s">
        <v>50</v>
      </c>
      <c r="T20" s="20" t="s">
        <v>6</v>
      </c>
      <c r="U20" s="19" t="s">
        <v>11</v>
      </c>
    </row>
    <row r="21" spans="1:21" ht="15.75" x14ac:dyDescent="0.25">
      <c r="A21" s="60" t="s">
        <v>52</v>
      </c>
      <c r="B21" s="61"/>
      <c r="C21" s="59">
        <v>5012</v>
      </c>
      <c r="D21" s="1">
        <v>249.5</v>
      </c>
      <c r="E21" s="53">
        <v>2.02</v>
      </c>
      <c r="F21" s="54">
        <v>2.44</v>
      </c>
      <c r="G21" s="54">
        <v>9.8000000000000007</v>
      </c>
      <c r="H21" s="53">
        <v>1.4</v>
      </c>
      <c r="I21" s="1">
        <v>25</v>
      </c>
      <c r="J21" s="58">
        <v>6.2374999999999998</v>
      </c>
      <c r="L21" s="22">
        <v>43545</v>
      </c>
      <c r="M21" s="59">
        <v>5012</v>
      </c>
      <c r="N21" s="3" t="s">
        <v>53</v>
      </c>
      <c r="O21" s="3">
        <v>242.9</v>
      </c>
      <c r="P21" s="3">
        <v>2.0499999999999998</v>
      </c>
      <c r="Q21" s="3">
        <v>2.4700000000000002</v>
      </c>
      <c r="R21" s="3">
        <v>9.5</v>
      </c>
      <c r="S21" s="3">
        <v>2.1</v>
      </c>
      <c r="T21" s="3">
        <f>(O21*I21)/1000</f>
        <v>6.0724999999999998</v>
      </c>
      <c r="U21" s="3" t="s">
        <v>107</v>
      </c>
    </row>
    <row r="22" spans="1:21" ht="15.75" x14ac:dyDescent="0.25">
      <c r="A22" s="60" t="s">
        <v>52</v>
      </c>
      <c r="B22" s="61"/>
      <c r="C22" s="59">
        <v>5013</v>
      </c>
      <c r="D22" s="1">
        <v>221.6</v>
      </c>
      <c r="E22" s="53">
        <v>1.98</v>
      </c>
      <c r="F22" s="54">
        <v>2.44</v>
      </c>
      <c r="G22" s="54">
        <v>9.8000000000000007</v>
      </c>
      <c r="H22" s="53">
        <v>1.4</v>
      </c>
      <c r="I22" s="1">
        <v>25</v>
      </c>
      <c r="J22" s="58">
        <v>5.54</v>
      </c>
      <c r="L22" s="22">
        <v>43545</v>
      </c>
      <c r="M22" s="59">
        <v>5013</v>
      </c>
      <c r="N22" s="3" t="s">
        <v>54</v>
      </c>
      <c r="O22" s="3">
        <v>214.8</v>
      </c>
      <c r="P22" s="3">
        <v>2.0499999999999998</v>
      </c>
      <c r="Q22" s="3">
        <v>2.5</v>
      </c>
      <c r="R22" s="3">
        <v>9.8000000000000007</v>
      </c>
      <c r="S22" s="3">
        <v>2.1</v>
      </c>
      <c r="T22" s="3">
        <f t="shared" ref="T22:T74" si="0">(O22*I22)/1000</f>
        <v>5.37</v>
      </c>
      <c r="U22" s="3" t="s">
        <v>107</v>
      </c>
    </row>
    <row r="23" spans="1:21" ht="15.75" x14ac:dyDescent="0.25">
      <c r="A23" s="60" t="s">
        <v>52</v>
      </c>
      <c r="B23" s="61"/>
      <c r="C23" s="59">
        <v>5014</v>
      </c>
      <c r="D23" s="1">
        <v>234</v>
      </c>
      <c r="E23" s="53">
        <v>2.0299999999999998</v>
      </c>
      <c r="F23" s="54">
        <v>2.17</v>
      </c>
      <c r="G23" s="54">
        <v>9.8000000000000007</v>
      </c>
      <c r="H23" s="53">
        <v>1.4</v>
      </c>
      <c r="I23" s="1">
        <v>25</v>
      </c>
      <c r="J23" s="58">
        <v>5.85</v>
      </c>
      <c r="L23" s="22">
        <v>43545</v>
      </c>
      <c r="M23" s="59">
        <v>5014</v>
      </c>
      <c r="N23" s="3" t="s">
        <v>55</v>
      </c>
      <c r="O23" s="3">
        <v>471.5</v>
      </c>
      <c r="P23" s="3">
        <v>2.06</v>
      </c>
      <c r="Q23" s="3">
        <v>2.25</v>
      </c>
      <c r="R23" s="3">
        <v>9.6999999999999993</v>
      </c>
      <c r="S23" s="3">
        <v>1.9</v>
      </c>
      <c r="T23" s="3">
        <f t="shared" si="0"/>
        <v>11.7875</v>
      </c>
      <c r="U23" s="3" t="s">
        <v>107</v>
      </c>
    </row>
    <row r="24" spans="1:21" ht="15.75" x14ac:dyDescent="0.25">
      <c r="A24" s="60" t="s">
        <v>52</v>
      </c>
      <c r="B24" s="61"/>
      <c r="C24" s="59">
        <v>5021</v>
      </c>
      <c r="D24" s="1">
        <v>267.7</v>
      </c>
      <c r="E24" s="53">
        <v>2.02</v>
      </c>
      <c r="F24" s="54">
        <v>2.46</v>
      </c>
      <c r="G24" s="54">
        <v>9.8000000000000007</v>
      </c>
      <c r="H24" s="53">
        <v>1.3</v>
      </c>
      <c r="I24" s="1">
        <v>25</v>
      </c>
      <c r="J24" s="58">
        <v>6.6924999999999999</v>
      </c>
      <c r="L24" s="22">
        <v>43545</v>
      </c>
      <c r="M24" s="59">
        <v>5021</v>
      </c>
      <c r="N24" s="3" t="s">
        <v>56</v>
      </c>
      <c r="O24" s="3">
        <v>461.7</v>
      </c>
      <c r="P24" s="3">
        <v>2.0099999999999998</v>
      </c>
      <c r="Q24" s="3">
        <v>2.44</v>
      </c>
      <c r="R24" s="3">
        <v>9.8000000000000007</v>
      </c>
      <c r="S24" s="3">
        <v>1.5</v>
      </c>
      <c r="T24" s="3">
        <f t="shared" si="0"/>
        <v>11.5425</v>
      </c>
      <c r="U24" s="3" t="s">
        <v>107</v>
      </c>
    </row>
    <row r="25" spans="1:21" ht="15.75" x14ac:dyDescent="0.25">
      <c r="A25" s="60" t="s">
        <v>52</v>
      </c>
      <c r="B25" s="61"/>
      <c r="C25" s="59">
        <v>5022</v>
      </c>
      <c r="D25" s="1">
        <v>263.2</v>
      </c>
      <c r="E25" s="53">
        <v>2.04</v>
      </c>
      <c r="F25" s="54">
        <v>2.42</v>
      </c>
      <c r="G25" s="54">
        <v>9.8000000000000007</v>
      </c>
      <c r="H25" s="53">
        <v>1.3</v>
      </c>
      <c r="I25" s="1">
        <v>25</v>
      </c>
      <c r="J25" s="58">
        <v>6.58</v>
      </c>
      <c r="L25" s="22">
        <v>43545</v>
      </c>
      <c r="M25" s="59">
        <v>5022</v>
      </c>
      <c r="N25" s="3" t="s">
        <v>57</v>
      </c>
      <c r="O25" s="3">
        <v>495.1</v>
      </c>
      <c r="P25" s="3">
        <v>2.0699999999999998</v>
      </c>
      <c r="Q25" s="3">
        <v>2.38</v>
      </c>
      <c r="R25" s="3">
        <v>9.5</v>
      </c>
      <c r="S25" s="3">
        <v>2</v>
      </c>
      <c r="T25" s="3">
        <f t="shared" si="0"/>
        <v>12.3775</v>
      </c>
      <c r="U25" s="3" t="s">
        <v>107</v>
      </c>
    </row>
    <row r="26" spans="1:21" ht="15.75" x14ac:dyDescent="0.25">
      <c r="A26" s="60" t="s">
        <v>52</v>
      </c>
      <c r="B26" s="61"/>
      <c r="C26" s="59">
        <v>5024</v>
      </c>
      <c r="D26" s="1">
        <v>260</v>
      </c>
      <c r="E26" s="53">
        <v>2.0499999999999998</v>
      </c>
      <c r="F26" s="54">
        <v>2.4500000000000002</v>
      </c>
      <c r="G26" s="54">
        <v>9.8000000000000007</v>
      </c>
      <c r="H26" s="53">
        <v>1.5</v>
      </c>
      <c r="I26" s="1">
        <v>25</v>
      </c>
      <c r="J26" s="58">
        <v>6.5</v>
      </c>
      <c r="L26" s="22">
        <v>43545</v>
      </c>
      <c r="M26" s="59">
        <v>5024</v>
      </c>
      <c r="N26" s="3" t="s">
        <v>58</v>
      </c>
      <c r="O26" s="3">
        <v>340.6</v>
      </c>
      <c r="P26" s="3">
        <v>2.08</v>
      </c>
      <c r="Q26" s="3">
        <v>2.4300000000000002</v>
      </c>
      <c r="R26" s="3">
        <v>9.4</v>
      </c>
      <c r="S26" s="3">
        <v>1.8</v>
      </c>
      <c r="T26" s="3">
        <f t="shared" si="0"/>
        <v>8.5150000000000006</v>
      </c>
      <c r="U26" s="3" t="s">
        <v>107</v>
      </c>
    </row>
    <row r="27" spans="1:21" ht="15.75" x14ac:dyDescent="0.25">
      <c r="A27" s="60" t="s">
        <v>52</v>
      </c>
      <c r="B27" s="61"/>
      <c r="C27" s="59">
        <v>5033</v>
      </c>
      <c r="D27" s="1">
        <v>247.7</v>
      </c>
      <c r="E27" s="53">
        <v>2.1</v>
      </c>
      <c r="F27" s="54">
        <v>2.27</v>
      </c>
      <c r="G27" s="54">
        <v>9.8000000000000007</v>
      </c>
      <c r="H27" s="53">
        <v>1.6</v>
      </c>
      <c r="I27" s="1">
        <v>25</v>
      </c>
      <c r="J27" s="58">
        <v>6.1924999999999999</v>
      </c>
      <c r="L27" s="22">
        <v>43545</v>
      </c>
      <c r="M27" s="59">
        <v>5033</v>
      </c>
      <c r="N27" s="3" t="s">
        <v>59</v>
      </c>
      <c r="O27" s="3">
        <v>267.3</v>
      </c>
      <c r="P27" s="3">
        <v>2.12</v>
      </c>
      <c r="Q27" s="3">
        <v>2.31</v>
      </c>
      <c r="R27" s="3">
        <v>9.5</v>
      </c>
      <c r="S27" s="3">
        <v>2.2999999999999998</v>
      </c>
      <c r="T27" s="3">
        <f t="shared" si="0"/>
        <v>6.6825000000000001</v>
      </c>
      <c r="U27" s="3" t="s">
        <v>107</v>
      </c>
    </row>
    <row r="28" spans="1:21" ht="15.75" x14ac:dyDescent="0.25">
      <c r="A28" s="60" t="s">
        <v>52</v>
      </c>
      <c r="B28" s="61"/>
      <c r="C28" s="59">
        <v>5034</v>
      </c>
      <c r="D28" s="1">
        <v>254.2</v>
      </c>
      <c r="E28" s="53">
        <v>2.09</v>
      </c>
      <c r="F28" s="54">
        <v>2.3199999999999998</v>
      </c>
      <c r="G28" s="54">
        <v>9.9</v>
      </c>
      <c r="H28" s="53">
        <v>1.6</v>
      </c>
      <c r="I28" s="1">
        <v>25</v>
      </c>
      <c r="J28" s="58">
        <v>6.3550000000000004</v>
      </c>
      <c r="L28" s="22">
        <v>43545</v>
      </c>
      <c r="M28" s="59">
        <v>5034</v>
      </c>
      <c r="N28" s="3" t="s">
        <v>60</v>
      </c>
      <c r="O28" s="3">
        <v>291.3</v>
      </c>
      <c r="P28" s="3">
        <v>2.1</v>
      </c>
      <c r="Q28" s="3">
        <v>2.34</v>
      </c>
      <c r="R28" s="3">
        <v>9.3000000000000007</v>
      </c>
      <c r="S28" s="3">
        <v>2.2000000000000002</v>
      </c>
      <c r="T28" s="3">
        <f t="shared" si="0"/>
        <v>7.2824999999999998</v>
      </c>
      <c r="U28" s="3" t="s">
        <v>107</v>
      </c>
    </row>
    <row r="29" spans="1:21" ht="15.75" x14ac:dyDescent="0.25">
      <c r="A29" s="60" t="s">
        <v>52</v>
      </c>
      <c r="B29" s="61"/>
      <c r="C29" s="59">
        <v>5035</v>
      </c>
      <c r="D29" s="1">
        <v>253.5</v>
      </c>
      <c r="E29" s="53">
        <v>2.0699999999999998</v>
      </c>
      <c r="F29" s="54">
        <v>2.38</v>
      </c>
      <c r="G29" s="54">
        <v>9.8000000000000007</v>
      </c>
      <c r="H29" s="53">
        <v>1.5</v>
      </c>
      <c r="I29" s="1">
        <v>25</v>
      </c>
      <c r="J29" s="58">
        <v>6.3375000000000004</v>
      </c>
      <c r="L29" s="22">
        <v>43545</v>
      </c>
      <c r="M29" s="59">
        <v>5035</v>
      </c>
      <c r="N29" s="3" t="s">
        <v>61</v>
      </c>
      <c r="O29" s="3">
        <v>232.5</v>
      </c>
      <c r="P29" s="3">
        <v>2.09</v>
      </c>
      <c r="Q29" s="3">
        <v>2.46</v>
      </c>
      <c r="R29" s="3">
        <v>9.5</v>
      </c>
      <c r="S29" s="3">
        <v>2.2999999999999998</v>
      </c>
      <c r="T29" s="3">
        <f t="shared" si="0"/>
        <v>5.8125</v>
      </c>
      <c r="U29" s="3" t="s">
        <v>107</v>
      </c>
    </row>
    <row r="30" spans="1:21" ht="15.75" x14ac:dyDescent="0.25">
      <c r="A30" s="60" t="s">
        <v>52</v>
      </c>
      <c r="B30" s="61"/>
      <c r="C30" s="59">
        <v>5042</v>
      </c>
      <c r="D30" s="1">
        <v>240.5</v>
      </c>
      <c r="E30" s="53">
        <v>2.11</v>
      </c>
      <c r="F30" s="54">
        <v>2.15</v>
      </c>
      <c r="G30" s="54">
        <v>9.5</v>
      </c>
      <c r="H30" s="53">
        <v>1.6</v>
      </c>
      <c r="I30" s="1">
        <v>25</v>
      </c>
      <c r="J30" s="58">
        <v>6.0125000000000002</v>
      </c>
      <c r="L30" s="22">
        <v>43545</v>
      </c>
      <c r="M30" s="59">
        <v>5042</v>
      </c>
      <c r="N30" s="3" t="s">
        <v>62</v>
      </c>
      <c r="O30" s="3">
        <v>213.6</v>
      </c>
      <c r="P30" s="3">
        <v>2.12</v>
      </c>
      <c r="Q30" s="3">
        <v>2.2000000000000002</v>
      </c>
      <c r="R30" s="3">
        <v>9.3000000000000007</v>
      </c>
      <c r="S30" s="3">
        <v>2.4</v>
      </c>
      <c r="T30" s="3">
        <f t="shared" si="0"/>
        <v>5.34</v>
      </c>
      <c r="U30" s="3" t="s">
        <v>107</v>
      </c>
    </row>
    <row r="31" spans="1:21" ht="15.75" x14ac:dyDescent="0.25">
      <c r="A31" s="60" t="s">
        <v>52</v>
      </c>
      <c r="B31" s="61"/>
      <c r="C31" s="59">
        <v>5044</v>
      </c>
      <c r="D31" s="1">
        <v>254.5</v>
      </c>
      <c r="E31" s="53">
        <v>2.1</v>
      </c>
      <c r="F31" s="54">
        <v>2.2599999999999998</v>
      </c>
      <c r="G31" s="54">
        <v>9.8000000000000007</v>
      </c>
      <c r="H31" s="53">
        <v>1.6</v>
      </c>
      <c r="I31" s="1">
        <v>25</v>
      </c>
      <c r="J31" s="58">
        <v>6.3624999999999998</v>
      </c>
      <c r="L31" s="22">
        <v>43545</v>
      </c>
      <c r="M31" s="59">
        <v>5044</v>
      </c>
      <c r="N31" s="3" t="s">
        <v>63</v>
      </c>
      <c r="O31" s="3">
        <v>325.39999999999998</v>
      </c>
      <c r="P31" s="3">
        <v>2.1</v>
      </c>
      <c r="Q31" s="3">
        <v>2.31</v>
      </c>
      <c r="R31" s="3">
        <v>9.5</v>
      </c>
      <c r="S31" s="3">
        <v>1.9</v>
      </c>
      <c r="T31" s="3">
        <f t="shared" si="0"/>
        <v>8.1349999999999998</v>
      </c>
      <c r="U31" s="3" t="s">
        <v>107</v>
      </c>
    </row>
    <row r="32" spans="1:21" ht="15.75" x14ac:dyDescent="0.25">
      <c r="A32" s="60" t="s">
        <v>52</v>
      </c>
      <c r="B32" s="61"/>
      <c r="C32" s="59">
        <v>5045</v>
      </c>
      <c r="D32" s="1">
        <v>250.8</v>
      </c>
      <c r="E32" s="53">
        <v>2.11</v>
      </c>
      <c r="F32" s="54">
        <v>2.31</v>
      </c>
      <c r="G32" s="54">
        <v>9.5</v>
      </c>
      <c r="H32" s="53">
        <v>1.6</v>
      </c>
      <c r="I32" s="1">
        <v>25</v>
      </c>
      <c r="J32" s="58">
        <v>6.27</v>
      </c>
      <c r="L32" s="22">
        <v>43545</v>
      </c>
      <c r="M32" s="59">
        <v>5045</v>
      </c>
      <c r="N32" s="3" t="s">
        <v>64</v>
      </c>
      <c r="O32" s="3">
        <v>316.60000000000002</v>
      </c>
      <c r="P32" s="3">
        <v>2.1</v>
      </c>
      <c r="Q32" s="3">
        <v>2.39</v>
      </c>
      <c r="R32" s="3">
        <v>9.6999999999999993</v>
      </c>
      <c r="S32" s="3">
        <v>1.6</v>
      </c>
      <c r="T32" s="3">
        <f t="shared" si="0"/>
        <v>7.9150000000000009</v>
      </c>
      <c r="U32" s="3" t="s">
        <v>107</v>
      </c>
    </row>
    <row r="33" spans="1:21" ht="15.75" x14ac:dyDescent="0.25">
      <c r="A33" s="60" t="s">
        <v>52</v>
      </c>
      <c r="B33" s="61"/>
      <c r="C33" s="59">
        <v>5051</v>
      </c>
      <c r="D33" s="1">
        <v>252.4</v>
      </c>
      <c r="E33" s="53">
        <v>2.12</v>
      </c>
      <c r="F33" s="54">
        <v>2.31</v>
      </c>
      <c r="G33" s="54">
        <v>9.5</v>
      </c>
      <c r="H33" s="53">
        <v>1.5</v>
      </c>
      <c r="I33" s="1">
        <v>25</v>
      </c>
      <c r="J33" s="58">
        <v>6.31</v>
      </c>
      <c r="L33" s="22">
        <v>43545</v>
      </c>
      <c r="M33" s="59">
        <v>5051</v>
      </c>
      <c r="N33" s="3" t="s">
        <v>65</v>
      </c>
      <c r="O33" s="3">
        <v>353.4</v>
      </c>
      <c r="P33" s="3">
        <v>2.13</v>
      </c>
      <c r="Q33" s="3">
        <v>2.36</v>
      </c>
      <c r="R33" s="3">
        <v>9.1999999999999993</v>
      </c>
      <c r="S33" s="3">
        <v>2.2999999999999998</v>
      </c>
      <c r="T33" s="3">
        <f t="shared" si="0"/>
        <v>8.8350000000000009</v>
      </c>
      <c r="U33" s="3" t="s">
        <v>107</v>
      </c>
    </row>
    <row r="34" spans="1:21" ht="15.75" x14ac:dyDescent="0.25">
      <c r="A34" s="60" t="s">
        <v>52</v>
      </c>
      <c r="B34" s="61"/>
      <c r="C34" s="59">
        <v>5053</v>
      </c>
      <c r="D34" s="1">
        <v>250.2</v>
      </c>
      <c r="E34" s="53">
        <v>2.1</v>
      </c>
      <c r="F34" s="54">
        <v>2.2799999999999998</v>
      </c>
      <c r="G34" s="54">
        <v>9.6</v>
      </c>
      <c r="H34" s="53">
        <v>1.6</v>
      </c>
      <c r="I34" s="1">
        <v>25</v>
      </c>
      <c r="J34" s="58">
        <v>6.2549999999999999</v>
      </c>
      <c r="L34" s="22">
        <v>43545</v>
      </c>
      <c r="M34" s="59">
        <v>5053</v>
      </c>
      <c r="N34" s="3" t="s">
        <v>66</v>
      </c>
      <c r="O34" s="3">
        <v>316.2</v>
      </c>
      <c r="P34" s="3">
        <v>2.12</v>
      </c>
      <c r="Q34" s="3">
        <v>2.31</v>
      </c>
      <c r="R34" s="3">
        <v>9.9</v>
      </c>
      <c r="S34" s="3">
        <v>1.8</v>
      </c>
      <c r="T34" s="3">
        <f t="shared" si="0"/>
        <v>7.9050000000000002</v>
      </c>
      <c r="U34" s="3" t="s">
        <v>107</v>
      </c>
    </row>
    <row r="35" spans="1:21" ht="15.75" x14ac:dyDescent="0.25">
      <c r="A35" s="60" t="s">
        <v>52</v>
      </c>
      <c r="B35" s="61"/>
      <c r="C35" s="59">
        <v>5054</v>
      </c>
      <c r="D35" s="1">
        <v>251.1</v>
      </c>
      <c r="E35" s="53">
        <v>2.11</v>
      </c>
      <c r="F35" s="54">
        <v>2.16</v>
      </c>
      <c r="G35" s="54">
        <v>9.9</v>
      </c>
      <c r="H35" s="53">
        <v>1.5</v>
      </c>
      <c r="I35" s="1">
        <v>25</v>
      </c>
      <c r="J35" s="58">
        <v>6.2774999999999999</v>
      </c>
      <c r="L35" s="22">
        <v>43545</v>
      </c>
      <c r="M35" s="59">
        <v>5054</v>
      </c>
      <c r="N35" s="3" t="s">
        <v>67</v>
      </c>
      <c r="O35" s="3">
        <v>280.3</v>
      </c>
      <c r="P35" s="3">
        <v>2.13</v>
      </c>
      <c r="Q35" s="3">
        <v>2.15</v>
      </c>
      <c r="R35" s="3">
        <v>9.6</v>
      </c>
      <c r="S35" s="3">
        <v>2.4</v>
      </c>
      <c r="T35" s="3">
        <f t="shared" si="0"/>
        <v>7.0075000000000003</v>
      </c>
      <c r="U35" s="3" t="s">
        <v>107</v>
      </c>
    </row>
    <row r="36" spans="1:21" ht="15.75" x14ac:dyDescent="0.25">
      <c r="A36" s="60" t="s">
        <v>52</v>
      </c>
      <c r="B36" s="61"/>
      <c r="C36" s="59">
        <v>5062</v>
      </c>
      <c r="D36" s="1">
        <v>248.7</v>
      </c>
      <c r="E36" s="53">
        <v>2.11</v>
      </c>
      <c r="F36" s="54">
        <v>2.31</v>
      </c>
      <c r="G36" s="54">
        <v>9.8000000000000007</v>
      </c>
      <c r="H36" s="53">
        <v>1.6</v>
      </c>
      <c r="I36" s="1">
        <v>25</v>
      </c>
      <c r="J36" s="58">
        <v>6.2175000000000002</v>
      </c>
      <c r="L36" s="22">
        <v>43545</v>
      </c>
      <c r="M36" s="59">
        <v>5062</v>
      </c>
      <c r="N36" s="3" t="s">
        <v>68</v>
      </c>
      <c r="O36" s="3">
        <v>293</v>
      </c>
      <c r="P36" s="3">
        <v>2.11</v>
      </c>
      <c r="Q36" s="3">
        <v>2.37</v>
      </c>
      <c r="R36" s="3">
        <v>9.9</v>
      </c>
      <c r="S36" s="3">
        <v>2.2999999999999998</v>
      </c>
      <c r="T36" s="3">
        <f t="shared" si="0"/>
        <v>7.3250000000000002</v>
      </c>
      <c r="U36" s="3" t="s">
        <v>107</v>
      </c>
    </row>
    <row r="37" spans="1:21" ht="15.75" x14ac:dyDescent="0.25">
      <c r="A37" s="60" t="s">
        <v>52</v>
      </c>
      <c r="B37" s="61"/>
      <c r="C37" s="59">
        <v>5063</v>
      </c>
      <c r="D37" s="1">
        <v>242.6</v>
      </c>
      <c r="E37" s="53">
        <v>2.11</v>
      </c>
      <c r="F37" s="54">
        <v>1.97</v>
      </c>
      <c r="G37" s="54">
        <v>9.6</v>
      </c>
      <c r="H37" s="53">
        <v>1.7</v>
      </c>
      <c r="I37" s="1">
        <v>25</v>
      </c>
      <c r="J37" s="58">
        <v>6.0650000000000004</v>
      </c>
      <c r="L37" s="22">
        <v>43545</v>
      </c>
      <c r="M37" s="59">
        <v>5063</v>
      </c>
      <c r="N37" s="3" t="s">
        <v>69</v>
      </c>
      <c r="O37" s="3">
        <v>240.4</v>
      </c>
      <c r="P37" s="3">
        <v>2.15</v>
      </c>
      <c r="Q37" s="3">
        <v>1.99</v>
      </c>
      <c r="R37" s="3">
        <v>9.1</v>
      </c>
      <c r="S37" s="3">
        <v>2.2999999999999998</v>
      </c>
      <c r="T37" s="3">
        <f t="shared" si="0"/>
        <v>6.01</v>
      </c>
      <c r="U37" s="3" t="s">
        <v>107</v>
      </c>
    </row>
    <row r="38" spans="1:21" ht="15.75" x14ac:dyDescent="0.25">
      <c r="A38" s="60" t="s">
        <v>52</v>
      </c>
      <c r="B38" s="61"/>
      <c r="C38" s="59">
        <v>5065</v>
      </c>
      <c r="D38" s="1">
        <v>252.6</v>
      </c>
      <c r="E38" s="53">
        <v>2.08</v>
      </c>
      <c r="F38" s="54">
        <v>2.3199999999999998</v>
      </c>
      <c r="G38" s="54">
        <v>10</v>
      </c>
      <c r="H38" s="53">
        <v>1.6</v>
      </c>
      <c r="I38" s="1">
        <v>25</v>
      </c>
      <c r="J38" s="58">
        <v>6.3150000000000004</v>
      </c>
      <c r="L38" s="22">
        <v>43545</v>
      </c>
      <c r="M38" s="59">
        <v>5065</v>
      </c>
      <c r="N38" s="3" t="s">
        <v>70</v>
      </c>
      <c r="O38" s="3">
        <v>224</v>
      </c>
      <c r="P38" s="3">
        <v>2.12</v>
      </c>
      <c r="Q38" s="3">
        <v>2.41</v>
      </c>
      <c r="R38" s="3">
        <v>9</v>
      </c>
      <c r="S38" s="3">
        <v>2.2999999999999998</v>
      </c>
      <c r="T38" s="3">
        <f t="shared" si="0"/>
        <v>5.6</v>
      </c>
      <c r="U38" s="3" t="s">
        <v>107</v>
      </c>
    </row>
    <row r="39" spans="1:21" ht="15.75" x14ac:dyDescent="0.25">
      <c r="A39" s="60" t="s">
        <v>52</v>
      </c>
      <c r="B39" s="61"/>
      <c r="C39" s="59">
        <v>5072</v>
      </c>
      <c r="D39" s="1">
        <v>158.69999999999999</v>
      </c>
      <c r="E39" s="53">
        <v>2.12</v>
      </c>
      <c r="F39" s="54">
        <v>1.87</v>
      </c>
      <c r="G39" s="54">
        <v>9.5</v>
      </c>
      <c r="H39" s="53">
        <v>1.6</v>
      </c>
      <c r="I39" s="1">
        <v>23</v>
      </c>
      <c r="J39" s="58">
        <v>3.6501000000000001</v>
      </c>
      <c r="L39" s="22">
        <v>43545</v>
      </c>
      <c r="M39" s="59">
        <v>5072</v>
      </c>
      <c r="N39" s="3" t="s">
        <v>71</v>
      </c>
      <c r="O39" s="3">
        <v>352.1</v>
      </c>
      <c r="P39" s="3">
        <v>2.09</v>
      </c>
      <c r="Q39" s="3">
        <v>2.2999999999999998</v>
      </c>
      <c r="R39" s="3">
        <v>9.3000000000000007</v>
      </c>
      <c r="S39" s="3">
        <v>1.7</v>
      </c>
      <c r="T39" s="3">
        <f t="shared" si="0"/>
        <v>8.0983000000000001</v>
      </c>
      <c r="U39" s="3" t="s">
        <v>107</v>
      </c>
    </row>
    <row r="40" spans="1:21" ht="15.75" x14ac:dyDescent="0.25">
      <c r="A40" s="60" t="s">
        <v>52</v>
      </c>
      <c r="B40" s="61"/>
      <c r="C40" s="59">
        <v>5073</v>
      </c>
      <c r="D40" s="1">
        <v>244.4</v>
      </c>
      <c r="E40" s="53">
        <v>2.11</v>
      </c>
      <c r="F40" s="54">
        <v>2.27</v>
      </c>
      <c r="G40" s="54">
        <v>9.6999999999999993</v>
      </c>
      <c r="H40" s="53">
        <v>1.6</v>
      </c>
      <c r="I40" s="1">
        <v>25</v>
      </c>
      <c r="J40" s="58">
        <v>6.11</v>
      </c>
      <c r="L40" s="22">
        <v>43545</v>
      </c>
      <c r="M40" s="59">
        <v>5073</v>
      </c>
      <c r="N40" s="3" t="s">
        <v>72</v>
      </c>
      <c r="O40" s="3">
        <v>476.6</v>
      </c>
      <c r="P40" s="3">
        <v>2.0099999999999998</v>
      </c>
      <c r="Q40" s="3">
        <v>2.2400000000000002</v>
      </c>
      <c r="R40" s="3">
        <v>9.1999999999999993</v>
      </c>
      <c r="S40" s="3">
        <v>2.2000000000000002</v>
      </c>
      <c r="T40" s="3">
        <f t="shared" si="0"/>
        <v>11.914999999999999</v>
      </c>
      <c r="U40" s="3" t="s">
        <v>107</v>
      </c>
    </row>
    <row r="41" spans="1:21" ht="15.75" x14ac:dyDescent="0.25">
      <c r="A41" s="60" t="s">
        <v>52</v>
      </c>
      <c r="B41" s="61"/>
      <c r="C41" s="59">
        <v>5075</v>
      </c>
      <c r="D41" s="1">
        <v>246.2</v>
      </c>
      <c r="E41" s="1">
        <v>2.11</v>
      </c>
      <c r="F41" s="21">
        <v>2.2599999999999998</v>
      </c>
      <c r="G41" s="21">
        <v>9.9</v>
      </c>
      <c r="H41" s="1">
        <v>1.6</v>
      </c>
      <c r="I41" s="1">
        <v>25</v>
      </c>
      <c r="J41" s="58">
        <v>6.1550000000000002</v>
      </c>
      <c r="L41" s="22">
        <v>43545</v>
      </c>
      <c r="M41" s="59">
        <v>5075</v>
      </c>
      <c r="N41" s="3" t="s">
        <v>73</v>
      </c>
      <c r="O41" s="3">
        <v>537.5</v>
      </c>
      <c r="P41" s="3">
        <v>2.02</v>
      </c>
      <c r="Q41" s="3">
        <v>2.21</v>
      </c>
      <c r="R41" s="3">
        <v>9.5</v>
      </c>
      <c r="S41" s="3">
        <v>1.8</v>
      </c>
      <c r="T41" s="3">
        <f t="shared" si="0"/>
        <v>13.4375</v>
      </c>
      <c r="U41" s="3" t="s">
        <v>107</v>
      </c>
    </row>
    <row r="42" spans="1:21" ht="15.75" x14ac:dyDescent="0.25">
      <c r="A42" s="60" t="s">
        <v>52</v>
      </c>
      <c r="B42" s="61"/>
      <c r="C42" s="59">
        <v>5083</v>
      </c>
      <c r="D42" s="1">
        <v>248.3</v>
      </c>
      <c r="E42" s="55">
        <v>2.12</v>
      </c>
      <c r="F42" s="21">
        <v>2.08</v>
      </c>
      <c r="G42" s="21">
        <v>8.5</v>
      </c>
      <c r="H42" s="1">
        <v>1.6</v>
      </c>
      <c r="I42" s="1">
        <v>25</v>
      </c>
      <c r="J42" s="58">
        <v>6.2074999999999996</v>
      </c>
      <c r="L42" s="22">
        <v>43545</v>
      </c>
      <c r="M42" s="59">
        <v>5083</v>
      </c>
      <c r="N42" s="3" t="s">
        <v>74</v>
      </c>
      <c r="O42" s="3">
        <v>296.60000000000002</v>
      </c>
      <c r="P42" s="3">
        <v>2.12</v>
      </c>
      <c r="Q42" s="3">
        <v>2.0499999999999998</v>
      </c>
      <c r="R42" s="3">
        <v>9.1</v>
      </c>
      <c r="S42" s="3">
        <v>1.5</v>
      </c>
      <c r="T42" s="3">
        <f t="shared" si="0"/>
        <v>7.4150000000000009</v>
      </c>
      <c r="U42" s="3" t="s">
        <v>107</v>
      </c>
    </row>
    <row r="43" spans="1:21" ht="15.75" x14ac:dyDescent="0.25">
      <c r="A43" s="60" t="s">
        <v>52</v>
      </c>
      <c r="B43" s="61"/>
      <c r="C43" s="59">
        <v>5084</v>
      </c>
      <c r="D43" s="1">
        <v>244.3</v>
      </c>
      <c r="E43" s="1">
        <v>2.09</v>
      </c>
      <c r="F43" s="21">
        <v>2.14</v>
      </c>
      <c r="G43" s="21">
        <v>9.1</v>
      </c>
      <c r="H43" s="1">
        <v>1.6</v>
      </c>
      <c r="I43" s="1">
        <v>25</v>
      </c>
      <c r="J43" s="58">
        <v>6.1074999999999999</v>
      </c>
      <c r="L43" s="22">
        <v>43545</v>
      </c>
      <c r="M43" s="59">
        <v>5084</v>
      </c>
      <c r="N43" s="3" t="s">
        <v>75</v>
      </c>
      <c r="O43" s="3">
        <v>278.39999999999998</v>
      </c>
      <c r="P43" s="3">
        <v>2.13</v>
      </c>
      <c r="Q43" s="3">
        <v>2.17</v>
      </c>
      <c r="R43" s="3">
        <v>9.1999999999999993</v>
      </c>
      <c r="S43" s="3">
        <v>1.8</v>
      </c>
      <c r="T43" s="3">
        <f t="shared" si="0"/>
        <v>6.9599999999999991</v>
      </c>
      <c r="U43" s="3" t="s">
        <v>107</v>
      </c>
    </row>
    <row r="44" spans="1:21" ht="15.75" x14ac:dyDescent="0.25">
      <c r="A44" s="60" t="s">
        <v>52</v>
      </c>
      <c r="B44" s="61"/>
      <c r="C44" s="59">
        <v>5085</v>
      </c>
      <c r="D44" s="1">
        <v>247.7</v>
      </c>
      <c r="E44" s="55">
        <v>2.11</v>
      </c>
      <c r="F44" s="21">
        <v>2.14</v>
      </c>
      <c r="G44" s="21">
        <v>9.5</v>
      </c>
      <c r="H44" s="1">
        <v>1.6</v>
      </c>
      <c r="I44" s="1">
        <v>25</v>
      </c>
      <c r="J44" s="58">
        <v>6.1924999999999999</v>
      </c>
      <c r="L44" s="22">
        <v>43545</v>
      </c>
      <c r="M44" s="59">
        <v>5085</v>
      </c>
      <c r="N44" s="3" t="s">
        <v>76</v>
      </c>
      <c r="O44" s="3">
        <v>271.89999999999998</v>
      </c>
      <c r="P44" s="3">
        <v>2.1</v>
      </c>
      <c r="Q44" s="3">
        <v>2.17</v>
      </c>
      <c r="R44" s="3">
        <v>9.1</v>
      </c>
      <c r="S44" s="3">
        <v>2</v>
      </c>
      <c r="T44" s="3">
        <f t="shared" si="0"/>
        <v>6.7974999999999994</v>
      </c>
      <c r="U44" s="3" t="s">
        <v>107</v>
      </c>
    </row>
    <row r="45" spans="1:21" ht="15.75" x14ac:dyDescent="0.25">
      <c r="A45" s="60" t="s">
        <v>52</v>
      </c>
      <c r="B45" s="61"/>
      <c r="C45" s="59">
        <v>5091</v>
      </c>
      <c r="D45" s="1">
        <v>250.9</v>
      </c>
      <c r="E45" s="1">
        <v>2.11</v>
      </c>
      <c r="F45" s="21">
        <v>2.14</v>
      </c>
      <c r="G45" s="21">
        <v>9.3000000000000007</v>
      </c>
      <c r="H45" s="1">
        <v>1.5</v>
      </c>
      <c r="I45" s="1">
        <v>25</v>
      </c>
      <c r="J45" s="58">
        <v>6.2725</v>
      </c>
      <c r="L45" s="22">
        <v>43545</v>
      </c>
      <c r="M45" s="59">
        <v>5091</v>
      </c>
      <c r="N45" s="3" t="s">
        <v>77</v>
      </c>
      <c r="O45" s="3">
        <v>236.9</v>
      </c>
      <c r="P45" s="3">
        <v>2.13</v>
      </c>
      <c r="Q45" s="3">
        <v>2.19</v>
      </c>
      <c r="R45" s="3">
        <v>9.4</v>
      </c>
      <c r="S45" s="3">
        <v>1.8</v>
      </c>
      <c r="T45" s="3">
        <f t="shared" si="0"/>
        <v>5.9225000000000003</v>
      </c>
      <c r="U45" s="3" t="s">
        <v>107</v>
      </c>
    </row>
    <row r="46" spans="1:21" ht="15.75" x14ac:dyDescent="0.25">
      <c r="A46" s="60" t="s">
        <v>52</v>
      </c>
      <c r="B46" s="61"/>
      <c r="C46" s="59">
        <v>5094</v>
      </c>
      <c r="D46" s="1">
        <v>247.4</v>
      </c>
      <c r="E46" s="1">
        <v>2.11</v>
      </c>
      <c r="F46" s="21">
        <v>2.06</v>
      </c>
      <c r="G46" s="21">
        <v>9.1999999999999993</v>
      </c>
      <c r="H46" s="1">
        <v>1.5</v>
      </c>
      <c r="I46" s="1">
        <v>25</v>
      </c>
      <c r="J46" s="58">
        <v>6.1849999999999996</v>
      </c>
      <c r="L46" s="22">
        <v>43545</v>
      </c>
      <c r="M46" s="59">
        <v>5094</v>
      </c>
      <c r="N46" s="3" t="s">
        <v>78</v>
      </c>
      <c r="O46" s="3">
        <v>223</v>
      </c>
      <c r="P46" s="3">
        <v>2.15</v>
      </c>
      <c r="Q46" s="3">
        <v>2.13</v>
      </c>
      <c r="R46" s="3">
        <v>9.6</v>
      </c>
      <c r="S46" s="3">
        <v>1.7</v>
      </c>
      <c r="T46" s="3">
        <f t="shared" si="0"/>
        <v>5.5750000000000002</v>
      </c>
      <c r="U46" s="3" t="s">
        <v>107</v>
      </c>
    </row>
    <row r="47" spans="1:21" ht="15.75" x14ac:dyDescent="0.25">
      <c r="A47" s="60" t="s">
        <v>52</v>
      </c>
      <c r="B47" s="61"/>
      <c r="C47" s="59">
        <v>5095</v>
      </c>
      <c r="D47" s="1">
        <v>244</v>
      </c>
      <c r="E47" s="1">
        <v>2.11</v>
      </c>
      <c r="F47" s="21">
        <v>2.27</v>
      </c>
      <c r="G47" s="21">
        <v>9.3000000000000007</v>
      </c>
      <c r="H47" s="1">
        <v>1.5</v>
      </c>
      <c r="I47" s="1">
        <v>25</v>
      </c>
      <c r="J47" s="58">
        <v>6.1</v>
      </c>
      <c r="L47" s="22">
        <v>43545</v>
      </c>
      <c r="M47" s="59">
        <v>5095</v>
      </c>
      <c r="N47" s="3" t="s">
        <v>79</v>
      </c>
      <c r="O47" s="3">
        <v>369.3</v>
      </c>
      <c r="P47" s="3">
        <v>2.14</v>
      </c>
      <c r="Q47" s="3">
        <v>2.19</v>
      </c>
      <c r="R47" s="3">
        <v>9.1</v>
      </c>
      <c r="S47" s="3">
        <v>1.7</v>
      </c>
      <c r="T47" s="3">
        <f t="shared" si="0"/>
        <v>9.2324999999999999</v>
      </c>
      <c r="U47" s="3" t="s">
        <v>107</v>
      </c>
    </row>
    <row r="48" spans="1:21" ht="15.75" x14ac:dyDescent="0.25">
      <c r="A48" s="60" t="s">
        <v>52</v>
      </c>
      <c r="B48" s="61"/>
      <c r="C48" s="59">
        <v>4011</v>
      </c>
      <c r="D48" s="1">
        <v>152.19999999999999</v>
      </c>
      <c r="E48" s="1">
        <v>2.19</v>
      </c>
      <c r="F48" s="21">
        <v>2.4</v>
      </c>
      <c r="G48" s="21">
        <v>8.8000000000000007</v>
      </c>
      <c r="H48" s="1">
        <v>1.5</v>
      </c>
      <c r="I48" s="1">
        <v>35</v>
      </c>
      <c r="J48" s="58">
        <v>5.327</v>
      </c>
      <c r="L48" s="22">
        <v>43545</v>
      </c>
      <c r="M48" s="59">
        <v>4011</v>
      </c>
      <c r="N48" s="3" t="s">
        <v>80</v>
      </c>
      <c r="O48" s="3">
        <v>73.37</v>
      </c>
      <c r="P48" s="3">
        <v>2.0499999999999998</v>
      </c>
      <c r="Q48" s="3">
        <v>1.78</v>
      </c>
      <c r="R48" s="3">
        <v>8.5</v>
      </c>
      <c r="S48" s="3">
        <v>1.7</v>
      </c>
      <c r="T48" s="3">
        <f t="shared" si="0"/>
        <v>2.5679500000000002</v>
      </c>
      <c r="U48" s="3" t="s">
        <v>107</v>
      </c>
    </row>
    <row r="49" spans="1:21" ht="15.75" x14ac:dyDescent="0.25">
      <c r="A49" s="60" t="s">
        <v>52</v>
      </c>
      <c r="B49" s="61"/>
      <c r="C49" s="59">
        <v>4012</v>
      </c>
      <c r="D49" s="1">
        <v>104.7</v>
      </c>
      <c r="E49" s="55">
        <v>2.02</v>
      </c>
      <c r="F49" s="21">
        <v>2.4700000000000002</v>
      </c>
      <c r="G49" s="21">
        <v>9.8000000000000007</v>
      </c>
      <c r="H49" s="1">
        <v>2.7</v>
      </c>
      <c r="I49" s="1">
        <v>38</v>
      </c>
      <c r="J49" s="58">
        <v>3.9785999999999997</v>
      </c>
      <c r="L49" s="22">
        <v>43545</v>
      </c>
      <c r="M49" s="59">
        <v>4012</v>
      </c>
      <c r="N49" s="3" t="s">
        <v>81</v>
      </c>
      <c r="O49" s="3">
        <v>323.89999999999998</v>
      </c>
      <c r="P49" s="3">
        <v>2.14</v>
      </c>
      <c r="Q49" s="3">
        <v>2.46</v>
      </c>
      <c r="R49" s="3">
        <v>9.3000000000000007</v>
      </c>
      <c r="S49" s="3">
        <v>2.2999999999999998</v>
      </c>
      <c r="T49" s="3">
        <f t="shared" si="0"/>
        <v>12.308199999999999</v>
      </c>
      <c r="U49" s="3" t="s">
        <v>107</v>
      </c>
    </row>
    <row r="50" spans="1:21" ht="15.75" x14ac:dyDescent="0.25">
      <c r="A50" s="60" t="s">
        <v>52</v>
      </c>
      <c r="B50" s="61"/>
      <c r="C50" s="59">
        <v>4013</v>
      </c>
      <c r="D50" s="1">
        <v>163.19999999999999</v>
      </c>
      <c r="E50" s="1">
        <v>2.1800000000000002</v>
      </c>
      <c r="F50" s="21">
        <v>2.34</v>
      </c>
      <c r="G50" s="21">
        <v>8.9</v>
      </c>
      <c r="H50" s="1">
        <v>1.6</v>
      </c>
      <c r="I50" s="1">
        <v>30</v>
      </c>
      <c r="J50" s="58">
        <v>4.8959999999999999</v>
      </c>
      <c r="L50" s="22">
        <v>43545</v>
      </c>
      <c r="M50" s="59">
        <v>4013</v>
      </c>
      <c r="N50" s="3" t="s">
        <v>82</v>
      </c>
      <c r="O50" s="3">
        <v>203.1</v>
      </c>
      <c r="P50" s="3">
        <v>2.04</v>
      </c>
      <c r="Q50" s="3">
        <v>1.6</v>
      </c>
      <c r="R50" s="3">
        <v>8.9</v>
      </c>
      <c r="S50" s="3">
        <v>1.4</v>
      </c>
      <c r="T50" s="3">
        <f t="shared" si="0"/>
        <v>6.093</v>
      </c>
      <c r="U50" s="3" t="s">
        <v>107</v>
      </c>
    </row>
    <row r="51" spans="1:21" ht="15.75" x14ac:dyDescent="0.25">
      <c r="A51" s="60" t="s">
        <v>52</v>
      </c>
      <c r="B51" s="61"/>
      <c r="C51" s="59">
        <v>4021</v>
      </c>
      <c r="D51" s="1">
        <v>170.8</v>
      </c>
      <c r="E51" s="55">
        <v>2.16</v>
      </c>
      <c r="F51" s="21">
        <v>2.38</v>
      </c>
      <c r="G51" s="21">
        <v>8.9</v>
      </c>
      <c r="H51" s="1">
        <v>1.6</v>
      </c>
      <c r="I51" s="1">
        <v>30</v>
      </c>
      <c r="J51" s="58">
        <v>5.1239999999999997</v>
      </c>
      <c r="L51" s="22">
        <v>43545</v>
      </c>
      <c r="M51" s="59">
        <v>4021</v>
      </c>
      <c r="N51" s="3" t="s">
        <v>83</v>
      </c>
      <c r="O51" s="3">
        <v>175.8</v>
      </c>
      <c r="P51" s="3">
        <v>2.0499999999999998</v>
      </c>
      <c r="Q51" s="3">
        <v>1.75</v>
      </c>
      <c r="R51" s="3">
        <v>9.1</v>
      </c>
      <c r="S51" s="3">
        <v>1.6</v>
      </c>
      <c r="T51" s="3">
        <f t="shared" si="0"/>
        <v>5.274</v>
      </c>
      <c r="U51" s="3" t="s">
        <v>107</v>
      </c>
    </row>
    <row r="52" spans="1:21" ht="15.75" x14ac:dyDescent="0.25">
      <c r="A52" s="60" t="s">
        <v>52</v>
      </c>
      <c r="B52" s="61"/>
      <c r="C52" s="59">
        <v>4022</v>
      </c>
      <c r="D52" s="1">
        <v>107.7</v>
      </c>
      <c r="E52" s="1">
        <v>1.96</v>
      </c>
      <c r="F52" s="21">
        <v>2.5</v>
      </c>
      <c r="G52" s="21">
        <v>9.6</v>
      </c>
      <c r="H52" s="1">
        <v>2.5</v>
      </c>
      <c r="I52" s="1">
        <v>38</v>
      </c>
      <c r="J52" s="58">
        <v>4.0926</v>
      </c>
      <c r="L52" s="22">
        <v>43545</v>
      </c>
      <c r="M52" s="59">
        <v>4022</v>
      </c>
      <c r="N52" s="3" t="s">
        <v>84</v>
      </c>
      <c r="O52" s="3">
        <v>162.80000000000001</v>
      </c>
      <c r="P52" s="3">
        <v>2.0299999999999998</v>
      </c>
      <c r="Q52" s="3">
        <v>2.4900000000000002</v>
      </c>
      <c r="R52" s="3">
        <v>9.4</v>
      </c>
      <c r="S52" s="3">
        <v>2.1</v>
      </c>
      <c r="T52" s="3">
        <f t="shared" si="0"/>
        <v>6.1864000000000008</v>
      </c>
      <c r="U52" s="3" t="s">
        <v>107</v>
      </c>
    </row>
    <row r="53" spans="1:21" ht="15.75" x14ac:dyDescent="0.25">
      <c r="A53" s="60" t="s">
        <v>52</v>
      </c>
      <c r="B53" s="61"/>
      <c r="C53" s="59">
        <v>4024</v>
      </c>
      <c r="D53" s="1">
        <v>154.5</v>
      </c>
      <c r="E53" s="1">
        <v>2.14</v>
      </c>
      <c r="F53" s="21">
        <v>2.4</v>
      </c>
      <c r="G53" s="21">
        <v>8.8000000000000007</v>
      </c>
      <c r="H53" s="1">
        <v>1.7</v>
      </c>
      <c r="I53" s="1">
        <v>35</v>
      </c>
      <c r="J53" s="58">
        <v>5.4074999999999998</v>
      </c>
      <c r="L53" s="22">
        <v>43545</v>
      </c>
      <c r="M53" s="59">
        <v>4024</v>
      </c>
      <c r="N53" s="3" t="s">
        <v>85</v>
      </c>
      <c r="O53" s="3">
        <v>129.1</v>
      </c>
      <c r="P53" s="3">
        <v>2.1</v>
      </c>
      <c r="Q53" s="3">
        <v>1.81</v>
      </c>
      <c r="R53" s="3">
        <v>9</v>
      </c>
      <c r="S53" s="3">
        <v>1.6</v>
      </c>
      <c r="T53" s="3">
        <f t="shared" si="0"/>
        <v>4.5185000000000004</v>
      </c>
      <c r="U53" s="3" t="s">
        <v>107</v>
      </c>
    </row>
    <row r="54" spans="1:21" ht="15.75" x14ac:dyDescent="0.25">
      <c r="A54" s="60" t="s">
        <v>52</v>
      </c>
      <c r="B54" s="61"/>
      <c r="C54" s="59">
        <v>4032</v>
      </c>
      <c r="D54" s="1">
        <v>94.9</v>
      </c>
      <c r="E54" s="1">
        <v>2.12</v>
      </c>
      <c r="F54" s="21">
        <v>2.29</v>
      </c>
      <c r="G54" s="21">
        <v>9.1</v>
      </c>
      <c r="H54" s="1">
        <v>3.6</v>
      </c>
      <c r="I54" s="1">
        <v>38</v>
      </c>
      <c r="J54" s="58">
        <v>3.6062000000000003</v>
      </c>
      <c r="L54" s="22">
        <v>43545</v>
      </c>
      <c r="M54" s="59">
        <v>4032</v>
      </c>
      <c r="N54" s="3" t="s">
        <v>86</v>
      </c>
      <c r="O54" s="3">
        <v>129.30000000000001</v>
      </c>
      <c r="P54" s="3">
        <v>2.17</v>
      </c>
      <c r="Q54" s="3">
        <v>2.4</v>
      </c>
      <c r="R54" s="3">
        <v>9.9</v>
      </c>
      <c r="S54" s="3">
        <v>2.5</v>
      </c>
      <c r="T54" s="3">
        <f t="shared" si="0"/>
        <v>4.9134000000000002</v>
      </c>
      <c r="U54" s="3" t="s">
        <v>107</v>
      </c>
    </row>
    <row r="55" spans="1:21" ht="15.75" x14ac:dyDescent="0.25">
      <c r="A55" s="60" t="s">
        <v>52</v>
      </c>
      <c r="B55" s="61"/>
      <c r="C55" s="59">
        <v>4033</v>
      </c>
      <c r="D55" s="1">
        <v>152.4</v>
      </c>
      <c r="E55" s="1">
        <v>2.14</v>
      </c>
      <c r="F55" s="21">
        <v>2.4</v>
      </c>
      <c r="G55" s="21">
        <v>8.6</v>
      </c>
      <c r="H55" s="1">
        <v>2.1</v>
      </c>
      <c r="I55" s="1">
        <v>30</v>
      </c>
      <c r="J55" s="58">
        <v>4.5720000000000001</v>
      </c>
      <c r="L55" s="22">
        <v>43545</v>
      </c>
      <c r="M55" s="59">
        <v>4033</v>
      </c>
      <c r="N55" s="3" t="s">
        <v>87</v>
      </c>
      <c r="O55" s="3">
        <v>209.3</v>
      </c>
      <c r="P55" s="3">
        <v>1.95</v>
      </c>
      <c r="Q55" s="3">
        <v>1.82</v>
      </c>
      <c r="R55" s="3">
        <v>5.8</v>
      </c>
      <c r="S55" s="3">
        <v>2.8</v>
      </c>
      <c r="T55" s="3">
        <f t="shared" si="0"/>
        <v>6.2789999999999999</v>
      </c>
      <c r="U55" s="3" t="s">
        <v>107</v>
      </c>
    </row>
    <row r="56" spans="1:21" ht="15.75" x14ac:dyDescent="0.25">
      <c r="A56" s="60" t="s">
        <v>52</v>
      </c>
      <c r="B56" s="61"/>
      <c r="C56" s="59">
        <v>4034</v>
      </c>
      <c r="D56" s="1">
        <v>160.69999999999999</v>
      </c>
      <c r="E56" s="1">
        <v>2.16</v>
      </c>
      <c r="F56" s="21">
        <v>2.16</v>
      </c>
      <c r="G56" s="21">
        <v>8.6</v>
      </c>
      <c r="H56" s="1">
        <v>2.1</v>
      </c>
      <c r="I56" s="1">
        <v>30</v>
      </c>
      <c r="J56" s="58">
        <v>4.8209999999999997</v>
      </c>
      <c r="L56" s="22">
        <v>43545</v>
      </c>
      <c r="M56" s="59">
        <v>4034</v>
      </c>
      <c r="N56" s="3" t="s">
        <v>88</v>
      </c>
      <c r="O56" s="3">
        <v>100.2</v>
      </c>
      <c r="P56" s="3">
        <v>2.0499999999999998</v>
      </c>
      <c r="Q56" s="3">
        <v>1.44</v>
      </c>
      <c r="R56" s="3">
        <v>9</v>
      </c>
      <c r="S56" s="3">
        <v>1.9</v>
      </c>
      <c r="T56" s="3">
        <f t="shared" si="0"/>
        <v>3.0059999999999998</v>
      </c>
      <c r="U56" s="3" t="s">
        <v>107</v>
      </c>
    </row>
    <row r="57" spans="1:21" ht="15.75" x14ac:dyDescent="0.25">
      <c r="A57" s="60" t="s">
        <v>52</v>
      </c>
      <c r="B57" s="61"/>
      <c r="C57" s="59">
        <v>4041</v>
      </c>
      <c r="D57" s="1">
        <v>231.2</v>
      </c>
      <c r="E57" s="1">
        <v>2.16</v>
      </c>
      <c r="F57" s="21">
        <v>2.2999999999999998</v>
      </c>
      <c r="G57" s="21">
        <v>8.9</v>
      </c>
      <c r="H57" s="1">
        <v>2.9</v>
      </c>
      <c r="I57" s="1">
        <v>25</v>
      </c>
      <c r="J57" s="58">
        <v>5.78</v>
      </c>
      <c r="L57" s="22">
        <v>43545</v>
      </c>
      <c r="M57" s="59">
        <v>4041</v>
      </c>
      <c r="N57" s="3" t="s">
        <v>89</v>
      </c>
      <c r="O57" s="3">
        <v>421.8</v>
      </c>
      <c r="P57" s="3">
        <v>2.06</v>
      </c>
      <c r="Q57" s="3">
        <v>2.16</v>
      </c>
      <c r="R57" s="3">
        <v>9.6</v>
      </c>
      <c r="S57" s="3">
        <v>2.2999999999999998</v>
      </c>
      <c r="T57" s="3">
        <f t="shared" si="0"/>
        <v>10.545</v>
      </c>
      <c r="U57" s="3" t="s">
        <v>107</v>
      </c>
    </row>
    <row r="58" spans="1:21" ht="15.75" x14ac:dyDescent="0.25">
      <c r="A58" s="60" t="s">
        <v>52</v>
      </c>
      <c r="B58" s="61"/>
      <c r="C58" s="59">
        <v>4044</v>
      </c>
      <c r="D58" s="1">
        <v>177.6</v>
      </c>
      <c r="E58" s="1">
        <v>2.15</v>
      </c>
      <c r="F58" s="21">
        <v>1.93</v>
      </c>
      <c r="G58" s="21">
        <v>8.9</v>
      </c>
      <c r="H58" s="1">
        <v>3</v>
      </c>
      <c r="I58" s="1">
        <v>25</v>
      </c>
      <c r="J58" s="58">
        <v>4.4400000000000004</v>
      </c>
      <c r="L58" s="22">
        <v>43545</v>
      </c>
      <c r="M58" s="59">
        <v>4044</v>
      </c>
      <c r="N58" s="3" t="s">
        <v>90</v>
      </c>
      <c r="O58" s="3">
        <v>195.2</v>
      </c>
      <c r="P58" s="3">
        <v>2.14</v>
      </c>
      <c r="Q58" s="3">
        <v>1.84</v>
      </c>
      <c r="R58" s="3">
        <v>9.6</v>
      </c>
      <c r="S58" s="3">
        <v>2.1</v>
      </c>
      <c r="T58" s="3">
        <f t="shared" si="0"/>
        <v>4.88</v>
      </c>
      <c r="U58" s="3" t="s">
        <v>107</v>
      </c>
    </row>
    <row r="59" spans="1:21" ht="15.75" x14ac:dyDescent="0.25">
      <c r="A59" s="60" t="s">
        <v>52</v>
      </c>
      <c r="B59" s="61"/>
      <c r="C59" s="59">
        <v>4045</v>
      </c>
      <c r="D59" s="1">
        <v>160.9</v>
      </c>
      <c r="E59" s="1">
        <v>2.15</v>
      </c>
      <c r="F59" s="21">
        <v>1.77</v>
      </c>
      <c r="G59" s="21">
        <v>8.9</v>
      </c>
      <c r="H59" s="1">
        <v>3.1</v>
      </c>
      <c r="I59" s="1">
        <v>25</v>
      </c>
      <c r="J59" s="58">
        <v>4.0225</v>
      </c>
      <c r="L59" s="22">
        <v>43545</v>
      </c>
      <c r="M59" s="59">
        <v>4045</v>
      </c>
      <c r="N59" s="3" t="s">
        <v>91</v>
      </c>
      <c r="O59" s="3">
        <v>184.9</v>
      </c>
      <c r="P59" s="3">
        <v>2.13</v>
      </c>
      <c r="Q59" s="3">
        <v>1.71</v>
      </c>
      <c r="R59" s="3">
        <v>9.6</v>
      </c>
      <c r="S59" s="3">
        <v>2.2999999999999998</v>
      </c>
      <c r="T59" s="3">
        <f t="shared" si="0"/>
        <v>4.6224999999999996</v>
      </c>
      <c r="U59" s="3" t="s">
        <v>107</v>
      </c>
    </row>
    <row r="60" spans="1:21" ht="15.75" x14ac:dyDescent="0.25">
      <c r="A60" s="60" t="s">
        <v>52</v>
      </c>
      <c r="B60" s="61"/>
      <c r="C60" s="59">
        <v>4051</v>
      </c>
      <c r="D60" s="1">
        <v>158.80000000000001</v>
      </c>
      <c r="E60" s="1">
        <v>2.13</v>
      </c>
      <c r="F60" s="21">
        <v>2.29</v>
      </c>
      <c r="G60" s="21">
        <v>8.5</v>
      </c>
      <c r="H60" s="1">
        <v>1.7</v>
      </c>
      <c r="I60" s="1">
        <v>30</v>
      </c>
      <c r="J60" s="58">
        <v>4.7640000000000002</v>
      </c>
      <c r="L60" s="22">
        <v>43545</v>
      </c>
      <c r="M60" s="59">
        <v>4051</v>
      </c>
      <c r="N60" s="3" t="s">
        <v>92</v>
      </c>
      <c r="O60" s="3">
        <v>149.5</v>
      </c>
      <c r="P60" s="3">
        <v>2.0499999999999998</v>
      </c>
      <c r="Q60" s="3">
        <v>1.78</v>
      </c>
      <c r="R60" s="3">
        <v>9.1</v>
      </c>
      <c r="S60" s="3">
        <v>1.5</v>
      </c>
      <c r="T60" s="3">
        <f t="shared" si="0"/>
        <v>4.4850000000000003</v>
      </c>
      <c r="U60" s="3" t="s">
        <v>107</v>
      </c>
    </row>
    <row r="61" spans="1:21" ht="15.75" x14ac:dyDescent="0.25">
      <c r="A61" s="60" t="s">
        <v>52</v>
      </c>
      <c r="B61" s="61"/>
      <c r="C61" s="59">
        <v>4053</v>
      </c>
      <c r="D61" s="1">
        <v>96.8</v>
      </c>
      <c r="E61" s="1">
        <v>2.09</v>
      </c>
      <c r="F61" s="21">
        <v>2.1</v>
      </c>
      <c r="G61" s="21">
        <v>8.6</v>
      </c>
      <c r="H61" s="1">
        <v>3.9</v>
      </c>
      <c r="I61" s="1">
        <v>38</v>
      </c>
      <c r="J61" s="58">
        <v>3.6783999999999999</v>
      </c>
      <c r="L61" s="22">
        <v>43545</v>
      </c>
      <c r="M61" s="59">
        <v>4053</v>
      </c>
      <c r="N61" s="3" t="s">
        <v>93</v>
      </c>
      <c r="O61" s="3">
        <v>70.83</v>
      </c>
      <c r="P61" s="3">
        <v>2.1800000000000002</v>
      </c>
      <c r="Q61" s="3">
        <v>2.11</v>
      </c>
      <c r="R61" s="3">
        <v>9.1</v>
      </c>
      <c r="S61" s="3">
        <v>2</v>
      </c>
      <c r="T61" s="3">
        <f t="shared" si="0"/>
        <v>2.6915399999999998</v>
      </c>
      <c r="U61" s="3" t="s">
        <v>107</v>
      </c>
    </row>
    <row r="62" spans="1:21" ht="15.75" x14ac:dyDescent="0.25">
      <c r="A62" s="60" t="s">
        <v>52</v>
      </c>
      <c r="B62" s="61"/>
      <c r="C62" s="59">
        <v>4054</v>
      </c>
      <c r="D62" s="1">
        <v>95.6</v>
      </c>
      <c r="E62" s="1">
        <v>2.12</v>
      </c>
      <c r="F62" s="21">
        <v>2.16</v>
      </c>
      <c r="G62" s="21">
        <v>8.9</v>
      </c>
      <c r="H62" s="1">
        <v>3.6</v>
      </c>
      <c r="I62" s="1">
        <v>38</v>
      </c>
      <c r="J62" s="58">
        <v>3.6327999999999996</v>
      </c>
      <c r="L62" s="22">
        <v>43545</v>
      </c>
      <c r="M62" s="59">
        <v>4054</v>
      </c>
      <c r="N62" s="3" t="s">
        <v>94</v>
      </c>
      <c r="O62" s="3">
        <v>95.11</v>
      </c>
      <c r="P62" s="3">
        <v>2.19</v>
      </c>
      <c r="Q62" s="3">
        <v>2.23</v>
      </c>
      <c r="R62" s="3">
        <v>9.8000000000000007</v>
      </c>
      <c r="S62" s="3">
        <v>1.9</v>
      </c>
      <c r="T62" s="3">
        <f t="shared" si="0"/>
        <v>3.6141799999999997</v>
      </c>
      <c r="U62" s="3" t="s">
        <v>107</v>
      </c>
    </row>
    <row r="63" spans="1:21" ht="15.75" x14ac:dyDescent="0.25">
      <c r="A63" s="60" t="s">
        <v>52</v>
      </c>
      <c r="B63" s="61"/>
      <c r="C63" s="59">
        <v>4061</v>
      </c>
      <c r="D63" s="1">
        <v>98.9</v>
      </c>
      <c r="E63" s="1">
        <v>2.12</v>
      </c>
      <c r="F63" s="21">
        <v>2.21</v>
      </c>
      <c r="G63" s="21">
        <v>8.8000000000000007</v>
      </c>
      <c r="H63" s="1">
        <v>3.3</v>
      </c>
      <c r="I63" s="1">
        <v>38</v>
      </c>
      <c r="J63" s="58">
        <v>3.7582000000000004</v>
      </c>
      <c r="L63" s="22">
        <v>43545</v>
      </c>
      <c r="M63" s="59">
        <v>4061</v>
      </c>
      <c r="N63" s="3" t="s">
        <v>95</v>
      </c>
      <c r="O63" s="3">
        <v>82.94</v>
      </c>
      <c r="P63" s="3">
        <v>2.2000000000000002</v>
      </c>
      <c r="Q63" s="3">
        <v>2.96</v>
      </c>
      <c r="R63" s="3">
        <v>9</v>
      </c>
      <c r="S63" s="3">
        <v>2.5</v>
      </c>
      <c r="T63" s="3">
        <f t="shared" si="0"/>
        <v>3.1517199999999996</v>
      </c>
      <c r="U63" s="3" t="s">
        <v>107</v>
      </c>
    </row>
    <row r="64" spans="1:21" ht="15.75" x14ac:dyDescent="0.25">
      <c r="A64" s="60" t="s">
        <v>52</v>
      </c>
      <c r="B64" s="61"/>
      <c r="C64" s="59">
        <v>4062</v>
      </c>
      <c r="D64" s="1">
        <v>96.4</v>
      </c>
      <c r="E64" s="1">
        <v>2.1</v>
      </c>
      <c r="F64" s="21">
        <v>2.21</v>
      </c>
      <c r="G64" s="21">
        <v>8.6999999999999993</v>
      </c>
      <c r="H64" s="1">
        <v>2.7</v>
      </c>
      <c r="I64" s="1">
        <v>38</v>
      </c>
      <c r="J64" s="58">
        <v>3.6632000000000002</v>
      </c>
      <c r="L64" s="22">
        <v>43545</v>
      </c>
      <c r="M64" s="59">
        <v>4062</v>
      </c>
      <c r="N64" s="3" t="s">
        <v>96</v>
      </c>
      <c r="O64" s="3">
        <v>47.29</v>
      </c>
      <c r="P64" s="3">
        <v>2.27</v>
      </c>
      <c r="Q64" s="3">
        <v>2.75</v>
      </c>
      <c r="R64" s="3">
        <v>8.9</v>
      </c>
      <c r="S64" s="3">
        <v>1.7</v>
      </c>
      <c r="T64" s="3">
        <f t="shared" si="0"/>
        <v>1.7970200000000001</v>
      </c>
      <c r="U64" s="3" t="s">
        <v>107</v>
      </c>
    </row>
    <row r="65" spans="1:21" ht="15.75" x14ac:dyDescent="0.25">
      <c r="A65" s="60" t="s">
        <v>52</v>
      </c>
      <c r="B65" s="61"/>
      <c r="C65" s="59">
        <v>4065</v>
      </c>
      <c r="D65" s="1">
        <v>97.3</v>
      </c>
      <c r="E65" s="1">
        <v>2.08</v>
      </c>
      <c r="F65" s="21">
        <v>2.2400000000000002</v>
      </c>
      <c r="G65" s="21">
        <v>9</v>
      </c>
      <c r="H65" s="1">
        <v>2.7</v>
      </c>
      <c r="I65" s="1">
        <v>38</v>
      </c>
      <c r="J65" s="58">
        <v>3.6974</v>
      </c>
      <c r="L65" s="22">
        <v>43545</v>
      </c>
      <c r="M65" s="59">
        <v>4065</v>
      </c>
      <c r="N65" s="3" t="s">
        <v>97</v>
      </c>
      <c r="O65" s="3">
        <v>174.2</v>
      </c>
      <c r="P65" s="3">
        <v>2.19</v>
      </c>
      <c r="Q65" s="3">
        <v>2.3199999999999998</v>
      </c>
      <c r="R65" s="3">
        <v>9</v>
      </c>
      <c r="S65" s="3">
        <v>1.7</v>
      </c>
      <c r="T65" s="3">
        <f t="shared" si="0"/>
        <v>6.6195999999999993</v>
      </c>
      <c r="U65" s="3" t="s">
        <v>107</v>
      </c>
    </row>
    <row r="66" spans="1:21" ht="15.75" x14ac:dyDescent="0.25">
      <c r="A66" s="60" t="s">
        <v>52</v>
      </c>
      <c r="B66" s="61"/>
      <c r="C66" s="59">
        <v>4083</v>
      </c>
      <c r="D66" s="1">
        <v>92.2</v>
      </c>
      <c r="E66" s="1">
        <v>2.12</v>
      </c>
      <c r="F66" s="21">
        <v>2.25</v>
      </c>
      <c r="G66" s="21">
        <v>8.6999999999999993</v>
      </c>
      <c r="H66" s="1">
        <v>2.6</v>
      </c>
      <c r="I66" s="1">
        <v>38</v>
      </c>
      <c r="J66" s="58">
        <v>3.5036</v>
      </c>
      <c r="L66" s="22">
        <v>43545</v>
      </c>
      <c r="M66" s="59">
        <v>4083</v>
      </c>
      <c r="N66" s="3" t="s">
        <v>98</v>
      </c>
      <c r="O66" s="3">
        <v>113.8</v>
      </c>
      <c r="P66" s="3">
        <v>2.16</v>
      </c>
      <c r="Q66" s="3">
        <v>2.2400000000000002</v>
      </c>
      <c r="R66" s="3">
        <v>8.6</v>
      </c>
      <c r="S66" s="3">
        <v>1.4</v>
      </c>
      <c r="T66" s="3">
        <f t="shared" si="0"/>
        <v>4.3243999999999998</v>
      </c>
      <c r="U66" s="3" t="s">
        <v>107</v>
      </c>
    </row>
    <row r="67" spans="1:21" ht="15.75" x14ac:dyDescent="0.25">
      <c r="A67" s="60" t="s">
        <v>52</v>
      </c>
      <c r="B67" s="61"/>
      <c r="C67" s="59">
        <v>4084</v>
      </c>
      <c r="D67" s="1">
        <v>93.4</v>
      </c>
      <c r="E67" s="1">
        <v>2.16</v>
      </c>
      <c r="F67" s="21">
        <v>2.3199999999999998</v>
      </c>
      <c r="G67" s="21">
        <v>8.3000000000000007</v>
      </c>
      <c r="H67" s="1">
        <v>1.6</v>
      </c>
      <c r="I67" s="1">
        <v>38</v>
      </c>
      <c r="J67" s="58">
        <v>3.5492000000000004</v>
      </c>
      <c r="L67" s="22">
        <v>43545</v>
      </c>
      <c r="M67" s="59">
        <v>4084</v>
      </c>
      <c r="N67" s="3" t="s">
        <v>99</v>
      </c>
      <c r="O67" s="3">
        <v>91.49</v>
      </c>
      <c r="P67" s="3">
        <v>2.0299999999999998</v>
      </c>
      <c r="Q67" s="3">
        <v>1.64</v>
      </c>
      <c r="R67" s="3">
        <v>8.6</v>
      </c>
      <c r="S67" s="3">
        <v>1.3</v>
      </c>
      <c r="T67" s="3">
        <f t="shared" si="0"/>
        <v>3.47662</v>
      </c>
      <c r="U67" s="3" t="s">
        <v>107</v>
      </c>
    </row>
    <row r="68" spans="1:21" ht="15.75" x14ac:dyDescent="0.25">
      <c r="A68" s="60" t="s">
        <v>52</v>
      </c>
      <c r="B68" s="61"/>
      <c r="C68" s="59">
        <v>4085</v>
      </c>
      <c r="D68" s="1">
        <v>128.30000000000001</v>
      </c>
      <c r="E68" s="1">
        <v>2.13</v>
      </c>
      <c r="F68" s="21">
        <v>2.12</v>
      </c>
      <c r="G68" s="21">
        <v>8.3000000000000007</v>
      </c>
      <c r="H68" s="1">
        <v>1.5</v>
      </c>
      <c r="I68" s="1">
        <v>35</v>
      </c>
      <c r="J68" s="58">
        <v>4.4904999999999999</v>
      </c>
      <c r="L68" s="22">
        <v>43545</v>
      </c>
      <c r="M68" s="59">
        <v>4085</v>
      </c>
      <c r="N68" s="3" t="s">
        <v>100</v>
      </c>
      <c r="O68" s="3">
        <v>124.7</v>
      </c>
      <c r="P68" s="3">
        <v>2.0299999999999998</v>
      </c>
      <c r="Q68" s="3">
        <v>1.75</v>
      </c>
      <c r="R68" s="3">
        <v>8.5</v>
      </c>
      <c r="S68" s="3">
        <v>1.3</v>
      </c>
      <c r="T68" s="3">
        <f t="shared" si="0"/>
        <v>4.3644999999999996</v>
      </c>
      <c r="U68" s="3" t="s">
        <v>107</v>
      </c>
    </row>
    <row r="69" spans="1:21" ht="15.75" x14ac:dyDescent="0.25">
      <c r="A69" s="60" t="s">
        <v>52</v>
      </c>
      <c r="B69" s="61"/>
      <c r="C69" s="59">
        <v>4102</v>
      </c>
      <c r="D69" s="1">
        <v>112.6</v>
      </c>
      <c r="E69" s="1">
        <v>2.14</v>
      </c>
      <c r="F69" s="21">
        <v>2.0499999999999998</v>
      </c>
      <c r="G69" s="21">
        <v>8.3000000000000007</v>
      </c>
      <c r="H69" s="1">
        <v>3.9</v>
      </c>
      <c r="I69" s="1">
        <v>33</v>
      </c>
      <c r="J69" s="58">
        <v>3.7157999999999998</v>
      </c>
      <c r="L69" s="22">
        <v>43545</v>
      </c>
      <c r="M69" s="59">
        <v>4102</v>
      </c>
      <c r="N69" s="3" t="s">
        <v>101</v>
      </c>
      <c r="O69" s="3">
        <v>85.13</v>
      </c>
      <c r="P69" s="3">
        <v>2.2000000000000002</v>
      </c>
      <c r="Q69" s="3">
        <v>1.87</v>
      </c>
      <c r="R69" s="3">
        <v>9.3000000000000007</v>
      </c>
      <c r="S69" s="3">
        <v>1.9</v>
      </c>
      <c r="T69" s="3">
        <f t="shared" si="0"/>
        <v>2.8092899999999998</v>
      </c>
      <c r="U69" s="3" t="s">
        <v>107</v>
      </c>
    </row>
    <row r="70" spans="1:21" ht="15.75" x14ac:dyDescent="0.25">
      <c r="A70" s="60" t="s">
        <v>52</v>
      </c>
      <c r="B70" s="61"/>
      <c r="C70" s="59">
        <v>4103</v>
      </c>
      <c r="D70" s="1">
        <v>131.30000000000001</v>
      </c>
      <c r="E70" s="1">
        <v>2.14</v>
      </c>
      <c r="F70" s="21">
        <v>1.79</v>
      </c>
      <c r="G70" s="21">
        <v>8.1999999999999993</v>
      </c>
      <c r="H70" s="1">
        <v>3.9</v>
      </c>
      <c r="I70" s="1">
        <v>35</v>
      </c>
      <c r="J70" s="58">
        <v>4.5955000000000004</v>
      </c>
      <c r="L70" s="22">
        <v>43545</v>
      </c>
      <c r="M70" s="59">
        <v>4103</v>
      </c>
      <c r="N70" s="3" t="s">
        <v>102</v>
      </c>
      <c r="O70" s="3">
        <v>106.2</v>
      </c>
      <c r="P70" s="3">
        <v>2.17</v>
      </c>
      <c r="Q70" s="3">
        <v>1.71</v>
      </c>
      <c r="R70" s="3">
        <v>9.1999999999999993</v>
      </c>
      <c r="S70" s="3">
        <v>1.6</v>
      </c>
      <c r="T70" s="3">
        <f t="shared" si="0"/>
        <v>3.7170000000000001</v>
      </c>
      <c r="U70" s="3" t="s">
        <v>107</v>
      </c>
    </row>
    <row r="71" spans="1:21" ht="15.75" x14ac:dyDescent="0.25">
      <c r="A71" s="60" t="s">
        <v>52</v>
      </c>
      <c r="B71" s="61"/>
      <c r="C71" s="59">
        <v>4104</v>
      </c>
      <c r="D71" s="1">
        <v>102.3</v>
      </c>
      <c r="E71" s="1">
        <v>2.16</v>
      </c>
      <c r="F71" s="21">
        <v>2.23</v>
      </c>
      <c r="G71" s="21">
        <v>8.5</v>
      </c>
      <c r="H71" s="1">
        <v>1.8</v>
      </c>
      <c r="I71" s="1">
        <v>40</v>
      </c>
      <c r="J71" s="58">
        <v>4.0919999999999996</v>
      </c>
      <c r="L71" s="22">
        <v>43545</v>
      </c>
      <c r="M71" s="59">
        <v>4104</v>
      </c>
      <c r="N71" s="3" t="s">
        <v>103</v>
      </c>
      <c r="O71" s="3">
        <v>163</v>
      </c>
      <c r="P71" s="3">
        <v>1.88</v>
      </c>
      <c r="Q71" s="3">
        <v>1.51</v>
      </c>
      <c r="R71" s="3">
        <v>8.5</v>
      </c>
      <c r="S71" s="3">
        <v>1.5</v>
      </c>
      <c r="T71" s="3">
        <f t="shared" si="0"/>
        <v>6.52</v>
      </c>
      <c r="U71" s="3" t="s">
        <v>107</v>
      </c>
    </row>
    <row r="72" spans="1:21" ht="15.75" x14ac:dyDescent="0.25">
      <c r="A72" s="60" t="s">
        <v>52</v>
      </c>
      <c r="B72" s="61"/>
      <c r="C72" s="59">
        <v>4132</v>
      </c>
      <c r="D72" s="1">
        <v>242.9</v>
      </c>
      <c r="E72" s="1">
        <v>2.15</v>
      </c>
      <c r="F72" s="21">
        <v>2.2200000000000002</v>
      </c>
      <c r="G72" s="21">
        <v>8.4</v>
      </c>
      <c r="H72" s="1">
        <v>3.3</v>
      </c>
      <c r="I72" s="1">
        <v>20</v>
      </c>
      <c r="J72" s="58">
        <v>4.8579999999999997</v>
      </c>
      <c r="L72" s="22">
        <v>43545</v>
      </c>
      <c r="M72" s="59">
        <v>4132</v>
      </c>
      <c r="N72" s="3" t="s">
        <v>104</v>
      </c>
      <c r="O72" s="3">
        <v>291.2</v>
      </c>
      <c r="P72" s="3">
        <v>2.08</v>
      </c>
      <c r="Q72" s="3">
        <v>2.1</v>
      </c>
      <c r="R72" s="3">
        <v>8.5</v>
      </c>
      <c r="S72" s="3">
        <v>2</v>
      </c>
      <c r="T72" s="3">
        <f t="shared" si="0"/>
        <v>5.8239999999999998</v>
      </c>
      <c r="U72" s="3" t="s">
        <v>107</v>
      </c>
    </row>
    <row r="73" spans="1:21" ht="15.75" x14ac:dyDescent="0.25">
      <c r="A73" s="60" t="s">
        <v>52</v>
      </c>
      <c r="B73" s="61"/>
      <c r="C73" s="59">
        <v>4134</v>
      </c>
      <c r="D73" s="1">
        <v>321.2</v>
      </c>
      <c r="E73" s="1">
        <v>2.15</v>
      </c>
      <c r="F73" s="21">
        <v>2.34</v>
      </c>
      <c r="G73" s="21">
        <v>8.3000000000000007</v>
      </c>
      <c r="H73" s="1">
        <v>2.2000000000000002</v>
      </c>
      <c r="I73" s="1">
        <v>20</v>
      </c>
      <c r="J73" s="58">
        <v>6.4240000000000004</v>
      </c>
      <c r="L73" s="22">
        <v>43545</v>
      </c>
      <c r="M73" s="59">
        <v>4134</v>
      </c>
      <c r="N73" s="3" t="s">
        <v>105</v>
      </c>
      <c r="O73" s="3">
        <v>384.9</v>
      </c>
      <c r="P73" s="3">
        <v>2.14</v>
      </c>
      <c r="Q73" s="3">
        <v>2.2999999999999998</v>
      </c>
      <c r="R73" s="3">
        <v>9</v>
      </c>
      <c r="S73" s="3">
        <v>2.1</v>
      </c>
      <c r="T73" s="3">
        <f t="shared" si="0"/>
        <v>7.6980000000000004</v>
      </c>
      <c r="U73" s="3" t="s">
        <v>107</v>
      </c>
    </row>
    <row r="74" spans="1:21" ht="15.75" x14ac:dyDescent="0.25">
      <c r="A74" s="60" t="s">
        <v>52</v>
      </c>
      <c r="B74" s="61"/>
      <c r="C74" s="59">
        <v>4135</v>
      </c>
      <c r="D74" s="1">
        <v>377.8</v>
      </c>
      <c r="E74" s="1">
        <v>2.15</v>
      </c>
      <c r="F74" s="21">
        <v>2.27</v>
      </c>
      <c r="G74" s="21">
        <v>8.5</v>
      </c>
      <c r="H74" s="1">
        <v>3.5</v>
      </c>
      <c r="I74" s="1">
        <v>20</v>
      </c>
      <c r="J74" s="58">
        <v>7.556</v>
      </c>
      <c r="L74" s="22">
        <v>43545</v>
      </c>
      <c r="M74" s="59">
        <v>4135</v>
      </c>
      <c r="N74" s="3" t="s">
        <v>106</v>
      </c>
      <c r="O74" s="3">
        <v>478.7</v>
      </c>
      <c r="P74" s="3">
        <v>2.08</v>
      </c>
      <c r="Q74" s="3">
        <v>2.2000000000000002</v>
      </c>
      <c r="R74" s="3">
        <v>8.8000000000000007</v>
      </c>
      <c r="S74" s="3">
        <v>1.6</v>
      </c>
      <c r="T74" s="3">
        <f t="shared" si="0"/>
        <v>9.5739999999999998</v>
      </c>
      <c r="U74" s="3" t="s">
        <v>107</v>
      </c>
    </row>
    <row r="75" spans="1:21" ht="15.75" x14ac:dyDescent="0.25">
      <c r="A75" s="56"/>
      <c r="B75" s="1"/>
      <c r="C75" s="1"/>
      <c r="D75" s="1"/>
      <c r="E75" s="1"/>
      <c r="F75" s="21"/>
      <c r="G75" s="21"/>
      <c r="H75" s="1"/>
      <c r="I75" s="1"/>
      <c r="J75" s="1"/>
      <c r="L75" s="22"/>
      <c r="M75" s="3"/>
      <c r="N75" s="3"/>
      <c r="O75" s="3"/>
      <c r="P75" s="3"/>
      <c r="Q75" s="3"/>
      <c r="R75" s="3"/>
      <c r="S75" s="3"/>
      <c r="T75" s="3"/>
      <c r="U75" s="3"/>
    </row>
    <row r="76" spans="1:21" ht="15.75" x14ac:dyDescent="0.25">
      <c r="A76" s="56"/>
      <c r="B76" s="1"/>
      <c r="C76" s="1"/>
      <c r="D76" s="1"/>
      <c r="E76" s="1"/>
      <c r="F76" s="21"/>
      <c r="G76" s="21"/>
      <c r="H76" s="1"/>
      <c r="I76" s="1"/>
      <c r="J76" s="1"/>
      <c r="L76" s="22"/>
      <c r="M76" s="3"/>
      <c r="N76" s="3"/>
      <c r="O76" s="3"/>
      <c r="P76" s="3"/>
      <c r="Q76" s="3"/>
      <c r="R76" s="3"/>
      <c r="S76" s="3"/>
      <c r="T76" s="3"/>
      <c r="U76" s="3"/>
    </row>
    <row r="77" spans="1:21" ht="15.75" x14ac:dyDescent="0.25">
      <c r="A77" s="56"/>
      <c r="B77" s="1"/>
      <c r="C77" s="1"/>
      <c r="D77" s="1"/>
      <c r="E77" s="1"/>
      <c r="F77" s="21"/>
      <c r="G77" s="21"/>
      <c r="H77" s="1"/>
      <c r="I77" s="1"/>
      <c r="J77" s="1"/>
      <c r="L77" s="22"/>
      <c r="M77" s="3"/>
      <c r="N77" s="3"/>
      <c r="O77" s="3"/>
      <c r="P77" s="3"/>
      <c r="Q77" s="3"/>
      <c r="R77" s="3"/>
      <c r="S77" s="3"/>
      <c r="T77" s="3"/>
      <c r="U77" s="3"/>
    </row>
    <row r="78" spans="1:21" ht="15.75" x14ac:dyDescent="0.25">
      <c r="A78" s="56"/>
      <c r="B78" s="1"/>
      <c r="C78" s="1"/>
      <c r="D78" s="1"/>
      <c r="E78" s="1"/>
      <c r="F78" s="21"/>
      <c r="G78" s="21"/>
      <c r="H78" s="1"/>
      <c r="I78" s="1"/>
      <c r="J78" s="1"/>
      <c r="L78" s="22"/>
      <c r="M78" s="3"/>
      <c r="N78" s="3"/>
      <c r="O78" s="3"/>
      <c r="P78" s="3"/>
      <c r="Q78" s="3"/>
      <c r="R78" s="3"/>
      <c r="S78" s="3"/>
      <c r="T78" s="3"/>
      <c r="U78" s="3"/>
    </row>
    <row r="79" spans="1:21" ht="15.75" x14ac:dyDescent="0.25">
      <c r="A79" s="56"/>
      <c r="B79" s="1"/>
      <c r="C79" s="1"/>
      <c r="D79" s="1"/>
      <c r="E79" s="1"/>
      <c r="F79" s="21"/>
      <c r="G79" s="21"/>
      <c r="H79" s="1"/>
      <c r="I79" s="1"/>
      <c r="J79" s="1"/>
      <c r="L79" s="22"/>
      <c r="M79" s="3"/>
      <c r="N79" s="3"/>
      <c r="O79" s="3"/>
      <c r="P79" s="3"/>
      <c r="Q79" s="3"/>
      <c r="R79" s="3"/>
      <c r="S79" s="3"/>
      <c r="T79" s="3"/>
      <c r="U79" s="3"/>
    </row>
    <row r="80" spans="1:21" ht="15.75" x14ac:dyDescent="0.25">
      <c r="A80" s="56"/>
      <c r="B80" s="1"/>
      <c r="C80" s="1"/>
      <c r="D80" s="1"/>
      <c r="E80" s="1"/>
      <c r="F80" s="21"/>
      <c r="G80" s="21"/>
      <c r="H80" s="1"/>
      <c r="I80" s="1"/>
      <c r="J80" s="1"/>
      <c r="L80" s="22"/>
      <c r="M80" s="3"/>
      <c r="N80" s="3"/>
      <c r="O80" s="3"/>
      <c r="P80" s="3"/>
      <c r="Q80" s="3"/>
      <c r="R80" s="3"/>
      <c r="S80" s="3"/>
      <c r="T80" s="3"/>
      <c r="U80" s="3"/>
    </row>
    <row r="81" spans="1:21" ht="15.75" x14ac:dyDescent="0.25">
      <c r="A81" s="56"/>
      <c r="B81" s="1"/>
      <c r="C81" s="1"/>
      <c r="D81" s="1"/>
      <c r="E81" s="1"/>
      <c r="F81" s="21"/>
      <c r="G81" s="21"/>
      <c r="H81" s="1"/>
      <c r="I81" s="1"/>
      <c r="J81" s="1"/>
      <c r="L81" s="22"/>
      <c r="M81" s="3"/>
      <c r="N81" s="3"/>
      <c r="O81" s="3"/>
      <c r="P81" s="3"/>
      <c r="Q81" s="3"/>
      <c r="R81" s="3"/>
      <c r="S81" s="3"/>
      <c r="T81" s="3"/>
      <c r="U81" s="3"/>
    </row>
    <row r="82" spans="1:21" ht="15.75" x14ac:dyDescent="0.25">
      <c r="A82" s="56"/>
      <c r="B82" s="1"/>
      <c r="C82" s="1"/>
      <c r="D82" s="1"/>
      <c r="E82" s="1"/>
      <c r="F82" s="21"/>
      <c r="G82" s="21"/>
      <c r="H82" s="1"/>
      <c r="I82" s="1"/>
      <c r="J82" s="1"/>
      <c r="L82" s="22"/>
      <c r="M82" s="3"/>
      <c r="N82" s="3"/>
      <c r="O82" s="3"/>
      <c r="P82" s="3"/>
      <c r="Q82" s="3"/>
      <c r="R82" s="3"/>
      <c r="S82" s="3"/>
      <c r="T82" s="3"/>
      <c r="U82" s="3"/>
    </row>
    <row r="83" spans="1:21" ht="15.75" x14ac:dyDescent="0.25">
      <c r="A83" s="56"/>
      <c r="B83" s="1"/>
      <c r="C83" s="1"/>
      <c r="D83" s="1"/>
      <c r="E83" s="1"/>
      <c r="F83" s="21"/>
      <c r="G83" s="21"/>
      <c r="H83" s="1"/>
      <c r="I83" s="1"/>
      <c r="J83" s="1"/>
      <c r="L83" s="22"/>
      <c r="M83" s="3"/>
      <c r="N83" s="3"/>
      <c r="O83" s="3"/>
      <c r="P83" s="3"/>
      <c r="Q83" s="3"/>
      <c r="R83" s="3"/>
      <c r="S83" s="3"/>
      <c r="T83" s="3"/>
      <c r="U83" s="3"/>
    </row>
    <row r="84" spans="1:21" ht="15.75" x14ac:dyDescent="0.25">
      <c r="A84" s="56"/>
      <c r="B84" s="1"/>
      <c r="C84" s="1"/>
      <c r="D84" s="1"/>
      <c r="E84" s="1"/>
      <c r="F84" s="21"/>
      <c r="G84" s="21"/>
      <c r="H84" s="1"/>
      <c r="I84" s="1"/>
      <c r="J84" s="1"/>
      <c r="L84" s="22"/>
      <c r="M84" s="3"/>
      <c r="N84" s="3"/>
      <c r="O84" s="3"/>
      <c r="P84" s="3"/>
      <c r="Q84" s="3"/>
      <c r="R84" s="3"/>
      <c r="S84" s="3"/>
      <c r="T84" s="3"/>
      <c r="U84" s="3"/>
    </row>
    <row r="85" spans="1:21" ht="15.75" x14ac:dyDescent="0.25">
      <c r="A85" s="56"/>
      <c r="B85" s="1"/>
      <c r="C85" s="1"/>
      <c r="D85" s="1"/>
      <c r="E85" s="1"/>
      <c r="F85" s="21"/>
      <c r="G85" s="21"/>
      <c r="H85" s="1"/>
      <c r="I85" s="1"/>
      <c r="J85" s="1"/>
      <c r="L85" s="22"/>
      <c r="M85" s="3"/>
      <c r="N85" s="3"/>
      <c r="O85" s="3"/>
      <c r="P85" s="3"/>
      <c r="Q85" s="3"/>
      <c r="R85" s="3"/>
      <c r="S85" s="3"/>
      <c r="T85" s="3"/>
      <c r="U85" s="3"/>
    </row>
    <row r="86" spans="1:21" ht="15.75" x14ac:dyDescent="0.25">
      <c r="A86" s="56"/>
      <c r="B86" s="1"/>
      <c r="C86" s="1"/>
      <c r="D86" s="1"/>
      <c r="E86" s="1"/>
      <c r="F86" s="21"/>
      <c r="G86" s="21"/>
      <c r="H86" s="1"/>
      <c r="I86" s="1"/>
      <c r="J86" s="1"/>
      <c r="L86" s="22"/>
      <c r="M86" s="3"/>
      <c r="N86" s="3"/>
      <c r="O86" s="3"/>
      <c r="P86" s="3"/>
      <c r="Q86" s="3"/>
      <c r="R86" s="3"/>
      <c r="S86" s="3"/>
      <c r="T86" s="3"/>
      <c r="U86" s="3"/>
    </row>
    <row r="87" spans="1:21" ht="15.75" x14ac:dyDescent="0.25">
      <c r="A87" s="56"/>
      <c r="B87" s="1"/>
      <c r="C87" s="1"/>
      <c r="D87" s="1"/>
      <c r="E87" s="1"/>
      <c r="F87" s="21"/>
      <c r="G87" s="21"/>
      <c r="H87" s="1"/>
      <c r="I87" s="1"/>
      <c r="J87" s="1"/>
      <c r="L87" s="22"/>
      <c r="M87" s="3"/>
      <c r="N87" s="3"/>
      <c r="O87" s="3"/>
      <c r="P87" s="3"/>
      <c r="Q87" s="3"/>
      <c r="R87" s="3"/>
      <c r="S87" s="3"/>
      <c r="T87" s="3"/>
      <c r="U87" s="3"/>
    </row>
    <row r="88" spans="1:21" ht="15.75" x14ac:dyDescent="0.25">
      <c r="A88" s="56"/>
      <c r="B88" s="1"/>
      <c r="C88" s="1"/>
      <c r="D88" s="1"/>
      <c r="E88" s="1"/>
      <c r="F88" s="21"/>
      <c r="G88" s="21"/>
      <c r="H88" s="1"/>
      <c r="I88" s="1"/>
      <c r="J88" s="1"/>
      <c r="L88" s="22"/>
      <c r="M88" s="3"/>
      <c r="N88" s="3"/>
      <c r="O88" s="3"/>
      <c r="P88" s="3"/>
      <c r="Q88" s="3"/>
      <c r="R88" s="3"/>
      <c r="S88" s="3"/>
      <c r="T88" s="3"/>
      <c r="U88" s="3"/>
    </row>
    <row r="89" spans="1:21" ht="15.75" x14ac:dyDescent="0.25">
      <c r="A89" s="56"/>
      <c r="B89" s="1"/>
      <c r="C89" s="1"/>
      <c r="D89" s="1"/>
      <c r="E89" s="1"/>
      <c r="F89" s="21"/>
      <c r="G89" s="21"/>
      <c r="H89" s="1"/>
      <c r="I89" s="1"/>
      <c r="J89" s="1"/>
      <c r="L89" s="22"/>
      <c r="M89" s="3"/>
      <c r="N89" s="3"/>
      <c r="O89" s="3"/>
      <c r="P89" s="3"/>
      <c r="Q89" s="3"/>
      <c r="R89" s="3"/>
      <c r="S89" s="3"/>
      <c r="T89" s="3"/>
      <c r="U89" s="3"/>
    </row>
    <row r="90" spans="1:21" ht="15.75" x14ac:dyDescent="0.25">
      <c r="A90" s="56"/>
      <c r="B90" s="1"/>
      <c r="C90" s="1"/>
      <c r="D90" s="1"/>
      <c r="E90" s="1"/>
      <c r="F90" s="21"/>
      <c r="G90" s="21"/>
      <c r="H90" s="1"/>
      <c r="I90" s="1"/>
      <c r="J90" s="1"/>
      <c r="L90" s="22"/>
      <c r="M90" s="3"/>
      <c r="N90" s="3"/>
      <c r="O90" s="3"/>
      <c r="P90" s="3"/>
      <c r="Q90" s="3"/>
      <c r="R90" s="3"/>
      <c r="S90" s="3"/>
      <c r="T90" s="3"/>
      <c r="U90" s="3"/>
    </row>
    <row r="91" spans="1:21" ht="15.75" x14ac:dyDescent="0.25">
      <c r="A91" s="56"/>
      <c r="B91" s="1"/>
      <c r="C91" s="1"/>
      <c r="D91" s="1"/>
      <c r="E91" s="1"/>
      <c r="F91" s="21"/>
      <c r="G91" s="21"/>
      <c r="H91" s="1"/>
      <c r="I91" s="1"/>
      <c r="J91" s="1"/>
      <c r="L91" s="22"/>
      <c r="M91" s="3"/>
      <c r="N91" s="3"/>
      <c r="O91" s="3"/>
      <c r="P91" s="3"/>
      <c r="Q91" s="3"/>
      <c r="R91" s="3"/>
      <c r="S91" s="3"/>
      <c r="T91" s="3"/>
      <c r="U91" s="3"/>
    </row>
    <row r="92" spans="1:21" ht="15.75" x14ac:dyDescent="0.25">
      <c r="A92" s="56"/>
      <c r="B92" s="1"/>
      <c r="C92" s="1"/>
      <c r="D92" s="1"/>
      <c r="E92" s="1"/>
      <c r="F92" s="21"/>
      <c r="G92" s="21"/>
      <c r="H92" s="1"/>
      <c r="I92" s="1"/>
      <c r="J92" s="1"/>
      <c r="L92" s="22"/>
      <c r="M92" s="3"/>
      <c r="N92" s="3"/>
      <c r="O92" s="3"/>
      <c r="P92" s="3"/>
      <c r="Q92" s="3"/>
      <c r="R92" s="3"/>
      <c r="S92" s="3"/>
      <c r="T92" s="3"/>
      <c r="U92" s="3"/>
    </row>
    <row r="93" spans="1:21" ht="15.75" x14ac:dyDescent="0.25">
      <c r="A93" s="56"/>
      <c r="B93" s="1"/>
      <c r="C93" s="1"/>
      <c r="D93" s="1"/>
      <c r="E93" s="1"/>
      <c r="F93" s="21"/>
      <c r="G93" s="21"/>
      <c r="H93" s="1"/>
      <c r="I93" s="1"/>
      <c r="J93" s="1"/>
      <c r="L93" s="22"/>
      <c r="M93" s="3"/>
      <c r="N93" s="3"/>
      <c r="O93" s="3"/>
      <c r="P93" s="3"/>
      <c r="Q93" s="3"/>
      <c r="R93" s="3"/>
      <c r="S93" s="3"/>
      <c r="T93" s="3"/>
      <c r="U93" s="3"/>
    </row>
    <row r="94" spans="1:21" ht="15.75" x14ac:dyDescent="0.25">
      <c r="A94" s="56"/>
      <c r="B94" s="1"/>
      <c r="C94" s="1"/>
      <c r="D94" s="1"/>
      <c r="E94" s="1"/>
      <c r="F94" s="21"/>
      <c r="G94" s="21"/>
      <c r="H94" s="1"/>
      <c r="I94" s="1"/>
      <c r="J94" s="1"/>
      <c r="L94" s="22"/>
      <c r="M94" s="3"/>
      <c r="N94" s="3"/>
      <c r="O94" s="3"/>
      <c r="P94" s="3"/>
      <c r="Q94" s="3"/>
      <c r="R94" s="3"/>
      <c r="S94" s="3"/>
      <c r="T94" s="3"/>
      <c r="U94" s="3"/>
    </row>
    <row r="95" spans="1:21" ht="15.75" x14ac:dyDescent="0.25">
      <c r="A95" s="56"/>
      <c r="B95" s="1"/>
      <c r="C95" s="1"/>
      <c r="D95" s="1"/>
      <c r="E95" s="1"/>
      <c r="F95" s="21"/>
      <c r="G95" s="21"/>
      <c r="H95" s="1"/>
      <c r="I95" s="1"/>
      <c r="J95" s="1"/>
      <c r="L95" s="22"/>
      <c r="M95" s="3"/>
      <c r="N95" s="3"/>
      <c r="O95" s="3"/>
      <c r="P95" s="3"/>
      <c r="Q95" s="3"/>
      <c r="R95" s="3"/>
      <c r="S95" s="3"/>
      <c r="T95" s="3"/>
      <c r="U95" s="3"/>
    </row>
    <row r="96" spans="1:21" ht="15.75" x14ac:dyDescent="0.25">
      <c r="A96" s="56"/>
      <c r="B96" s="1"/>
      <c r="C96" s="1"/>
      <c r="D96" s="1"/>
      <c r="E96" s="1"/>
      <c r="F96" s="21"/>
      <c r="G96" s="21"/>
      <c r="H96" s="1"/>
      <c r="I96" s="1"/>
      <c r="J96" s="1"/>
      <c r="L96" s="22"/>
      <c r="M96" s="3"/>
      <c r="N96" s="3"/>
      <c r="O96" s="3"/>
      <c r="P96" s="3"/>
      <c r="Q96" s="3"/>
      <c r="R96" s="3"/>
      <c r="S96" s="3"/>
      <c r="T96" s="3"/>
      <c r="U96" s="3"/>
    </row>
    <row r="97" spans="1:21" ht="15.75" x14ac:dyDescent="0.25">
      <c r="A97" s="56"/>
      <c r="B97" s="1"/>
      <c r="C97" s="1"/>
      <c r="D97" s="1"/>
      <c r="E97" s="1"/>
      <c r="F97" s="21"/>
      <c r="G97" s="21"/>
      <c r="H97" s="1"/>
      <c r="I97" s="1"/>
      <c r="J97" s="1"/>
      <c r="L97" s="22"/>
      <c r="M97" s="3"/>
      <c r="N97" s="3"/>
      <c r="O97" s="3"/>
      <c r="P97" s="3"/>
      <c r="Q97" s="3"/>
      <c r="R97" s="3"/>
      <c r="S97" s="3"/>
      <c r="T97" s="3"/>
      <c r="U97" s="3"/>
    </row>
    <row r="98" spans="1:21" ht="15.75" x14ac:dyDescent="0.25">
      <c r="A98" s="56"/>
      <c r="B98" s="1"/>
      <c r="C98" s="1"/>
      <c r="D98" s="1"/>
      <c r="E98" s="1"/>
      <c r="F98" s="21"/>
      <c r="G98" s="21"/>
      <c r="H98" s="1"/>
      <c r="I98" s="1"/>
      <c r="J98" s="1"/>
      <c r="L98" s="22"/>
      <c r="M98" s="3"/>
      <c r="N98" s="3"/>
      <c r="O98" s="3"/>
      <c r="P98" s="3"/>
      <c r="Q98" s="3"/>
      <c r="R98" s="3"/>
      <c r="S98" s="3"/>
      <c r="T98" s="3"/>
      <c r="U98" s="3"/>
    </row>
    <row r="99" spans="1:21" ht="15.75" x14ac:dyDescent="0.25">
      <c r="A99" s="56"/>
      <c r="B99" s="1"/>
      <c r="C99" s="1"/>
      <c r="D99" s="1"/>
      <c r="E99" s="1"/>
      <c r="F99" s="21"/>
      <c r="G99" s="21"/>
      <c r="H99" s="1"/>
      <c r="I99" s="1"/>
      <c r="J99" s="1"/>
      <c r="L99" s="22"/>
      <c r="M99" s="3"/>
      <c r="N99" s="3"/>
      <c r="O99" s="3"/>
      <c r="P99" s="3"/>
      <c r="Q99" s="3"/>
      <c r="R99" s="3"/>
      <c r="S99" s="3"/>
      <c r="T99" s="3"/>
      <c r="U99" s="3"/>
    </row>
    <row r="100" spans="1:21" ht="15.75" x14ac:dyDescent="0.25">
      <c r="A100" s="56"/>
      <c r="B100" s="1"/>
      <c r="C100" s="1"/>
      <c r="D100" s="1"/>
      <c r="E100" s="1"/>
      <c r="F100" s="21"/>
      <c r="G100" s="21"/>
      <c r="H100" s="1"/>
      <c r="I100" s="1"/>
      <c r="J100" s="1"/>
      <c r="L100" s="22"/>
      <c r="M100" s="3"/>
      <c r="N100" s="3"/>
      <c r="O100" s="3"/>
      <c r="P100" s="3"/>
      <c r="Q100" s="3"/>
      <c r="R100" s="3"/>
      <c r="S100" s="3"/>
      <c r="T100" s="3"/>
      <c r="U100" s="3"/>
    </row>
    <row r="101" spans="1:21" ht="15.75" x14ac:dyDescent="0.25">
      <c r="A101" s="56"/>
      <c r="B101" s="1"/>
      <c r="C101" s="1"/>
      <c r="D101" s="1"/>
      <c r="E101" s="1"/>
      <c r="F101" s="21"/>
      <c r="G101" s="21"/>
      <c r="H101" s="1"/>
      <c r="I101" s="1"/>
      <c r="J101" s="1"/>
      <c r="L101" s="22"/>
      <c r="M101" s="3"/>
      <c r="N101" s="3"/>
      <c r="O101" s="3"/>
      <c r="P101" s="3"/>
      <c r="Q101" s="3"/>
      <c r="R101" s="3"/>
      <c r="S101" s="3"/>
      <c r="T101" s="3"/>
      <c r="U101" s="3"/>
    </row>
    <row r="102" spans="1:21" ht="15.75" x14ac:dyDescent="0.25">
      <c r="A102" s="56"/>
      <c r="B102" s="1"/>
      <c r="C102" s="1"/>
      <c r="D102" s="1"/>
      <c r="E102" s="1"/>
      <c r="F102" s="21"/>
      <c r="G102" s="21"/>
      <c r="H102" s="1"/>
      <c r="I102" s="1"/>
      <c r="J102" s="1"/>
      <c r="L102" s="22"/>
      <c r="M102" s="3"/>
      <c r="N102" s="3"/>
      <c r="O102" s="3"/>
      <c r="P102" s="3"/>
      <c r="Q102" s="3"/>
      <c r="R102" s="3"/>
      <c r="S102" s="3"/>
      <c r="T102" s="3"/>
      <c r="U102" s="3"/>
    </row>
    <row r="103" spans="1:21" ht="15.75" x14ac:dyDescent="0.25">
      <c r="A103" s="56"/>
      <c r="B103" s="1"/>
      <c r="C103" s="1"/>
      <c r="D103" s="1"/>
      <c r="E103" s="1"/>
      <c r="F103" s="21"/>
      <c r="G103" s="21"/>
      <c r="H103" s="1"/>
      <c r="I103" s="1"/>
      <c r="J103" s="1"/>
      <c r="L103" s="22"/>
      <c r="M103" s="3"/>
      <c r="N103" s="3"/>
      <c r="O103" s="3"/>
      <c r="P103" s="3"/>
      <c r="Q103" s="3"/>
      <c r="R103" s="3"/>
      <c r="S103" s="3"/>
      <c r="T103" s="3"/>
      <c r="U103" s="3"/>
    </row>
    <row r="104" spans="1:21" ht="15.75" x14ac:dyDescent="0.25">
      <c r="A104" s="56"/>
      <c r="B104" s="1"/>
      <c r="C104" s="1"/>
      <c r="D104" s="1"/>
      <c r="E104" s="1"/>
      <c r="F104" s="21"/>
      <c r="G104" s="21"/>
      <c r="H104" s="1"/>
      <c r="I104" s="1"/>
      <c r="J104" s="1"/>
      <c r="L104" s="22"/>
      <c r="M104" s="3"/>
      <c r="N104" s="3"/>
      <c r="O104" s="3"/>
      <c r="P104" s="3"/>
      <c r="Q104" s="3"/>
      <c r="R104" s="3"/>
      <c r="S104" s="3"/>
      <c r="T104" s="3"/>
      <c r="U104" s="3"/>
    </row>
    <row r="105" spans="1:21" ht="15.75" x14ac:dyDescent="0.25">
      <c r="A105" s="56"/>
      <c r="B105" s="1"/>
      <c r="C105" s="1"/>
      <c r="D105" s="1"/>
      <c r="E105" s="1"/>
      <c r="F105" s="21"/>
      <c r="G105" s="21"/>
      <c r="H105" s="1"/>
      <c r="I105" s="1"/>
      <c r="J105" s="1"/>
      <c r="L105" s="22"/>
      <c r="M105" s="3"/>
      <c r="N105" s="3"/>
      <c r="O105" s="3"/>
      <c r="P105" s="3"/>
      <c r="Q105" s="3"/>
      <c r="R105" s="3"/>
      <c r="S105" s="3"/>
      <c r="T105" s="3"/>
      <c r="U105" s="3"/>
    </row>
    <row r="106" spans="1:21" ht="15.75" x14ac:dyDescent="0.25">
      <c r="A106" s="56"/>
      <c r="B106" s="1"/>
      <c r="C106" s="1"/>
      <c r="D106" s="1"/>
      <c r="E106" s="1"/>
      <c r="F106" s="21"/>
      <c r="G106" s="21"/>
      <c r="H106" s="1"/>
      <c r="I106" s="1"/>
      <c r="J106" s="1"/>
      <c r="L106" s="22"/>
      <c r="M106" s="3"/>
      <c r="N106" s="3"/>
      <c r="O106" s="3"/>
      <c r="P106" s="3"/>
      <c r="Q106" s="3"/>
      <c r="R106" s="3"/>
      <c r="S106" s="3"/>
      <c r="T106" s="3"/>
      <c r="U106" s="3"/>
    </row>
    <row r="107" spans="1:21" ht="15.75" x14ac:dyDescent="0.25">
      <c r="A107" s="56"/>
      <c r="B107" s="1"/>
      <c r="C107" s="1"/>
      <c r="D107" s="1"/>
      <c r="E107" s="1"/>
      <c r="F107" s="21"/>
      <c r="G107" s="21"/>
      <c r="H107" s="1"/>
      <c r="I107" s="1"/>
      <c r="J107" s="1"/>
      <c r="L107" s="22"/>
      <c r="M107" s="3"/>
      <c r="N107" s="3"/>
      <c r="O107" s="3"/>
      <c r="P107" s="3"/>
      <c r="Q107" s="3"/>
      <c r="R107" s="3"/>
      <c r="S107" s="3"/>
      <c r="T107" s="3"/>
      <c r="U107" s="3"/>
    </row>
    <row r="108" spans="1:21" ht="15.75" x14ac:dyDescent="0.25">
      <c r="A108" s="56"/>
      <c r="B108" s="1"/>
      <c r="C108" s="1"/>
      <c r="D108" s="1"/>
      <c r="E108" s="1"/>
      <c r="F108" s="21"/>
      <c r="G108" s="21"/>
      <c r="H108" s="1"/>
      <c r="I108" s="1"/>
      <c r="J108" s="1"/>
      <c r="L108" s="22"/>
      <c r="M108" s="3"/>
      <c r="N108" s="3"/>
      <c r="O108" s="3"/>
      <c r="P108" s="3"/>
      <c r="Q108" s="3"/>
      <c r="R108" s="3"/>
      <c r="S108" s="3"/>
      <c r="T108" s="3"/>
      <c r="U108" s="3"/>
    </row>
    <row r="109" spans="1:21" ht="15.75" x14ac:dyDescent="0.25">
      <c r="A109" s="56"/>
      <c r="B109" s="1"/>
      <c r="C109" s="1"/>
      <c r="D109" s="1"/>
      <c r="E109" s="1"/>
      <c r="F109" s="21"/>
      <c r="G109" s="21"/>
      <c r="H109" s="1"/>
      <c r="I109" s="1"/>
      <c r="J109" s="1"/>
      <c r="L109" s="22"/>
      <c r="M109" s="3"/>
      <c r="N109" s="3"/>
      <c r="O109" s="3"/>
      <c r="P109" s="3"/>
      <c r="Q109" s="3"/>
      <c r="R109" s="3"/>
      <c r="S109" s="3"/>
      <c r="T109" s="3"/>
      <c r="U109" s="3"/>
    </row>
    <row r="110" spans="1:21" ht="15.75" x14ac:dyDescent="0.25">
      <c r="A110" s="56"/>
      <c r="B110" s="1"/>
      <c r="C110" s="1"/>
      <c r="D110" s="1"/>
      <c r="E110" s="1"/>
      <c r="F110" s="21"/>
      <c r="G110" s="21"/>
      <c r="H110" s="1"/>
      <c r="I110" s="1"/>
      <c r="J110" s="1"/>
      <c r="L110" s="22"/>
      <c r="M110" s="3"/>
      <c r="N110" s="3"/>
      <c r="O110" s="3"/>
      <c r="P110" s="3"/>
      <c r="Q110" s="3"/>
      <c r="R110" s="3"/>
      <c r="S110" s="3"/>
      <c r="T110" s="3"/>
      <c r="U110" s="3"/>
    </row>
    <row r="111" spans="1:21" ht="15.75" x14ac:dyDescent="0.25">
      <c r="A111" s="56"/>
      <c r="B111" s="1"/>
      <c r="C111" s="1"/>
      <c r="D111" s="1"/>
      <c r="E111" s="1"/>
      <c r="F111" s="21"/>
      <c r="G111" s="21"/>
      <c r="H111" s="1"/>
      <c r="I111" s="1"/>
      <c r="J111" s="1"/>
      <c r="L111" s="22"/>
      <c r="M111" s="3"/>
      <c r="N111" s="3"/>
      <c r="O111" s="3"/>
      <c r="P111" s="3"/>
      <c r="Q111" s="3"/>
      <c r="R111" s="3"/>
      <c r="S111" s="3"/>
      <c r="T111" s="3"/>
      <c r="U111" s="3"/>
    </row>
    <row r="112" spans="1:21" ht="15.75" x14ac:dyDescent="0.25">
      <c r="A112" s="56"/>
      <c r="B112" s="1"/>
      <c r="C112" s="1"/>
      <c r="D112" s="1"/>
      <c r="E112" s="1"/>
      <c r="F112" s="21"/>
      <c r="G112" s="21"/>
      <c r="H112" s="1"/>
      <c r="I112" s="1"/>
      <c r="J112" s="1"/>
      <c r="L112" s="22"/>
      <c r="M112" s="3"/>
      <c r="N112" s="3"/>
      <c r="O112" s="3"/>
      <c r="P112" s="3"/>
      <c r="Q112" s="3"/>
      <c r="R112" s="3"/>
      <c r="S112" s="3"/>
      <c r="T112" s="3"/>
      <c r="U112" s="3"/>
    </row>
    <row r="113" spans="1:21" ht="15.75" x14ac:dyDescent="0.25">
      <c r="A113" s="56"/>
      <c r="B113" s="1"/>
      <c r="C113" s="1"/>
      <c r="D113" s="1"/>
      <c r="E113" s="1"/>
      <c r="F113" s="21"/>
      <c r="G113" s="21"/>
      <c r="H113" s="1"/>
      <c r="I113" s="1"/>
      <c r="J113" s="1"/>
      <c r="L113" s="22"/>
      <c r="M113" s="3"/>
      <c r="N113" s="3"/>
      <c r="O113" s="3"/>
      <c r="P113" s="3"/>
      <c r="Q113" s="3"/>
      <c r="R113" s="3"/>
      <c r="S113" s="3"/>
      <c r="T113" s="3"/>
      <c r="U113" s="3"/>
    </row>
    <row r="114" spans="1:21" ht="15.75" x14ac:dyDescent="0.25">
      <c r="A114" s="56"/>
      <c r="B114" s="1"/>
      <c r="C114" s="1"/>
      <c r="D114" s="1"/>
      <c r="E114" s="1"/>
      <c r="F114" s="21"/>
      <c r="G114" s="21"/>
      <c r="H114" s="1"/>
      <c r="I114" s="1"/>
      <c r="J114" s="1"/>
      <c r="L114" s="22"/>
      <c r="M114" s="3"/>
      <c r="N114" s="3"/>
      <c r="O114" s="3"/>
      <c r="P114" s="3"/>
      <c r="Q114" s="3"/>
      <c r="R114" s="3"/>
      <c r="S114" s="3"/>
      <c r="T114" s="3"/>
      <c r="U114" s="3"/>
    </row>
    <row r="115" spans="1:21" ht="15.75" x14ac:dyDescent="0.25">
      <c r="A115" s="56"/>
      <c r="B115" s="1"/>
      <c r="C115" s="1"/>
      <c r="D115" s="1"/>
      <c r="E115" s="1"/>
      <c r="F115" s="21"/>
      <c r="G115" s="21"/>
      <c r="H115" s="1"/>
      <c r="I115" s="1"/>
      <c r="J115" s="1"/>
      <c r="L115" s="22"/>
      <c r="M115" s="3"/>
      <c r="N115" s="3"/>
      <c r="O115" s="3"/>
      <c r="P115" s="3"/>
      <c r="Q115" s="3"/>
      <c r="R115" s="3"/>
      <c r="S115" s="3"/>
      <c r="T115" s="3"/>
      <c r="U115" s="3"/>
    </row>
    <row r="116" spans="1:21" ht="15.75" x14ac:dyDescent="0.25">
      <c r="A116" s="56"/>
      <c r="B116" s="1"/>
      <c r="C116" s="1"/>
      <c r="D116" s="1"/>
      <c r="E116" s="1"/>
      <c r="F116" s="21"/>
      <c r="G116" s="21"/>
      <c r="H116" s="1"/>
      <c r="I116" s="1"/>
      <c r="J116" s="1"/>
      <c r="L116" s="22"/>
      <c r="M116" s="3"/>
      <c r="N116" s="3"/>
      <c r="O116" s="3"/>
      <c r="P116" s="3"/>
      <c r="Q116" s="3"/>
      <c r="R116" s="3"/>
      <c r="S116" s="3"/>
      <c r="T116" s="3"/>
      <c r="U116" s="3"/>
    </row>
    <row r="117" spans="1:21" ht="15.75" x14ac:dyDescent="0.25">
      <c r="A117" s="56"/>
      <c r="B117" s="1"/>
      <c r="C117" s="1"/>
      <c r="D117" s="1"/>
      <c r="E117" s="1"/>
      <c r="F117" s="21"/>
      <c r="G117" s="21"/>
      <c r="H117" s="1"/>
      <c r="I117" s="1"/>
      <c r="J117" s="1"/>
      <c r="L117" s="22"/>
      <c r="M117" s="3"/>
      <c r="N117" s="3"/>
      <c r="O117" s="3"/>
      <c r="P117" s="3"/>
      <c r="Q117" s="3"/>
      <c r="R117" s="3"/>
      <c r="S117" s="3"/>
      <c r="T117" s="3"/>
      <c r="U117" s="3"/>
    </row>
    <row r="118" spans="1:21" ht="15.75" x14ac:dyDescent="0.25">
      <c r="A118" s="56"/>
      <c r="B118" s="1"/>
      <c r="C118" s="1"/>
      <c r="D118" s="1"/>
      <c r="E118" s="1"/>
      <c r="F118" s="21"/>
      <c r="G118" s="21"/>
      <c r="H118" s="1"/>
      <c r="I118" s="1"/>
      <c r="J118" s="1"/>
      <c r="L118" s="22"/>
      <c r="M118" s="3"/>
      <c r="N118" s="3"/>
      <c r="O118" s="3"/>
      <c r="P118" s="3"/>
      <c r="Q118" s="3"/>
      <c r="R118" s="3"/>
      <c r="S118" s="3"/>
      <c r="T118" s="3"/>
      <c r="U118" s="3"/>
    </row>
    <row r="119" spans="1:21" ht="15.75" x14ac:dyDescent="0.25">
      <c r="A119" s="56"/>
      <c r="B119" s="1"/>
      <c r="C119" s="1"/>
      <c r="D119" s="1"/>
      <c r="E119" s="1"/>
      <c r="F119" s="21"/>
      <c r="G119" s="21"/>
      <c r="H119" s="1"/>
      <c r="I119" s="1"/>
      <c r="J119" s="1"/>
      <c r="L119" s="22"/>
      <c r="M119" s="3"/>
      <c r="N119" s="3"/>
      <c r="O119" s="3"/>
      <c r="P119" s="3"/>
      <c r="Q119" s="3"/>
      <c r="R119" s="3"/>
      <c r="S119" s="3"/>
      <c r="T119" s="3"/>
      <c r="U119" s="3"/>
    </row>
    <row r="120" spans="1:21" ht="15.75" x14ac:dyDescent="0.25">
      <c r="A120" s="56"/>
      <c r="B120" s="1"/>
      <c r="C120" s="1"/>
      <c r="D120" s="1"/>
      <c r="E120" s="1"/>
      <c r="F120" s="21"/>
      <c r="G120" s="21"/>
      <c r="H120" s="1"/>
      <c r="I120" s="1"/>
      <c r="J120" s="1"/>
      <c r="L120" s="22"/>
      <c r="M120" s="3"/>
      <c r="N120" s="3"/>
      <c r="O120" s="3"/>
      <c r="P120" s="3"/>
      <c r="Q120" s="3"/>
      <c r="R120" s="3"/>
      <c r="S120" s="3"/>
      <c r="T120" s="3"/>
      <c r="U120" s="3"/>
    </row>
    <row r="121" spans="1:21" ht="15.75" x14ac:dyDescent="0.25">
      <c r="A121" s="56"/>
      <c r="B121" s="1"/>
      <c r="C121" s="1"/>
      <c r="D121" s="1"/>
      <c r="E121" s="1"/>
      <c r="F121" s="21"/>
      <c r="G121" s="21"/>
      <c r="H121" s="1"/>
      <c r="I121" s="1"/>
      <c r="J121" s="1"/>
      <c r="L121" s="22"/>
      <c r="M121" s="3"/>
      <c r="N121" s="3"/>
      <c r="O121" s="3"/>
      <c r="P121" s="3"/>
      <c r="Q121" s="3"/>
      <c r="R121" s="3"/>
      <c r="S121" s="3"/>
      <c r="T121" s="3"/>
      <c r="U121" s="3"/>
    </row>
    <row r="122" spans="1:21" ht="15.75" x14ac:dyDescent="0.25">
      <c r="A122" s="56"/>
      <c r="B122" s="1"/>
      <c r="C122" s="1"/>
      <c r="D122" s="1"/>
      <c r="E122" s="1"/>
      <c r="F122" s="21"/>
      <c r="G122" s="21"/>
      <c r="H122" s="1"/>
      <c r="I122" s="1"/>
      <c r="J122" s="1"/>
      <c r="L122" s="22"/>
      <c r="M122" s="3"/>
      <c r="N122" s="3"/>
      <c r="O122" s="3"/>
      <c r="P122" s="3"/>
      <c r="Q122" s="3"/>
      <c r="R122" s="3"/>
      <c r="S122" s="3"/>
      <c r="T122" s="3"/>
      <c r="U122" s="3"/>
    </row>
    <row r="123" spans="1:21" ht="15.75" x14ac:dyDescent="0.25">
      <c r="A123" s="56"/>
      <c r="B123" s="1"/>
      <c r="C123" s="1"/>
      <c r="D123" s="1"/>
      <c r="E123" s="1"/>
      <c r="F123" s="21"/>
      <c r="G123" s="21"/>
      <c r="H123" s="1"/>
      <c r="I123" s="1"/>
      <c r="J123" s="1"/>
      <c r="L123" s="22"/>
      <c r="M123" s="3"/>
      <c r="N123" s="3"/>
      <c r="O123" s="3"/>
      <c r="P123" s="3"/>
      <c r="Q123" s="3"/>
      <c r="R123" s="3"/>
      <c r="S123" s="3"/>
      <c r="T123" s="3"/>
      <c r="U123" s="3"/>
    </row>
    <row r="124" spans="1:21" ht="15.75" x14ac:dyDescent="0.25">
      <c r="A124" s="56"/>
      <c r="B124" s="1"/>
      <c r="C124" s="1"/>
      <c r="D124" s="1"/>
      <c r="E124" s="1"/>
      <c r="F124" s="21"/>
      <c r="G124" s="21"/>
      <c r="H124" s="1"/>
      <c r="I124" s="1"/>
      <c r="J124" s="1"/>
      <c r="L124" s="22"/>
      <c r="M124" s="3"/>
      <c r="N124" s="3"/>
      <c r="O124" s="3"/>
      <c r="P124" s="3"/>
      <c r="Q124" s="3"/>
      <c r="R124" s="3"/>
      <c r="S124" s="3"/>
      <c r="T124" s="3"/>
      <c r="U124" s="3"/>
    </row>
    <row r="125" spans="1:21" ht="15.75" x14ac:dyDescent="0.25">
      <c r="A125" s="56"/>
      <c r="B125" s="1"/>
      <c r="C125" s="1"/>
      <c r="D125" s="1"/>
      <c r="E125" s="1"/>
      <c r="F125" s="21"/>
      <c r="G125" s="21"/>
      <c r="H125" s="1"/>
      <c r="I125" s="1"/>
      <c r="J125" s="1"/>
      <c r="L125" s="22"/>
      <c r="M125" s="3"/>
      <c r="N125" s="3"/>
      <c r="O125" s="3"/>
      <c r="P125" s="3"/>
      <c r="Q125" s="3"/>
      <c r="R125" s="3"/>
      <c r="S125" s="3"/>
      <c r="T125" s="3"/>
      <c r="U125" s="3"/>
    </row>
    <row r="126" spans="1:21" ht="15.75" x14ac:dyDescent="0.25">
      <c r="A126" s="56"/>
      <c r="B126" s="1"/>
      <c r="C126" s="1"/>
      <c r="D126" s="1"/>
      <c r="E126" s="1"/>
      <c r="F126" s="21"/>
      <c r="G126" s="21"/>
      <c r="H126" s="1"/>
      <c r="I126" s="1"/>
      <c r="J126" s="1"/>
      <c r="L126" s="22"/>
      <c r="M126" s="3"/>
      <c r="N126" s="3"/>
      <c r="O126" s="3"/>
      <c r="P126" s="3"/>
      <c r="Q126" s="3"/>
      <c r="R126" s="3"/>
      <c r="S126" s="3"/>
      <c r="T126" s="3"/>
      <c r="U126" s="3"/>
    </row>
    <row r="127" spans="1:21" ht="15.75" x14ac:dyDescent="0.25">
      <c r="A127" s="56"/>
      <c r="B127" s="1"/>
      <c r="C127" s="1"/>
      <c r="D127" s="1"/>
      <c r="E127" s="1"/>
      <c r="F127" s="21"/>
      <c r="G127" s="21"/>
      <c r="H127" s="1"/>
      <c r="I127" s="1"/>
      <c r="J127" s="1"/>
      <c r="L127" s="22"/>
      <c r="M127" s="3"/>
      <c r="N127" s="3"/>
      <c r="O127" s="3"/>
      <c r="P127" s="3"/>
      <c r="Q127" s="3"/>
      <c r="R127" s="3"/>
      <c r="S127" s="3"/>
      <c r="T127" s="3"/>
      <c r="U127" s="3"/>
    </row>
    <row r="128" spans="1:21" ht="15.75" x14ac:dyDescent="0.25">
      <c r="A128" s="56"/>
      <c r="B128" s="1"/>
      <c r="C128" s="1"/>
      <c r="D128" s="1"/>
      <c r="E128" s="1"/>
      <c r="F128" s="21"/>
      <c r="G128" s="21"/>
      <c r="H128" s="1"/>
      <c r="I128" s="1"/>
      <c r="J128" s="1"/>
      <c r="L128" s="22"/>
      <c r="M128" s="3"/>
      <c r="N128" s="3"/>
      <c r="O128" s="3"/>
      <c r="P128" s="3"/>
      <c r="Q128" s="3"/>
      <c r="R128" s="3"/>
      <c r="S128" s="3"/>
      <c r="T128" s="3"/>
      <c r="U128" s="3"/>
    </row>
    <row r="129" spans="1:21" ht="15.75" x14ac:dyDescent="0.25">
      <c r="A129" s="56"/>
      <c r="B129" s="1"/>
      <c r="C129" s="1"/>
      <c r="D129" s="1"/>
      <c r="E129" s="1"/>
      <c r="F129" s="21"/>
      <c r="G129" s="21"/>
      <c r="H129" s="1"/>
      <c r="I129" s="1"/>
      <c r="J129" s="1"/>
      <c r="L129" s="22"/>
      <c r="M129" s="3"/>
      <c r="N129" s="3"/>
      <c r="O129" s="3"/>
      <c r="P129" s="3"/>
      <c r="Q129" s="3"/>
      <c r="R129" s="3"/>
      <c r="S129" s="3"/>
      <c r="T129" s="3"/>
      <c r="U129" s="3"/>
    </row>
    <row r="130" spans="1:21" ht="15.75" x14ac:dyDescent="0.25">
      <c r="A130" s="56"/>
      <c r="B130" s="1"/>
      <c r="C130" s="1"/>
      <c r="D130" s="1"/>
      <c r="E130" s="1"/>
      <c r="F130" s="21"/>
      <c r="G130" s="21"/>
      <c r="H130" s="1"/>
      <c r="I130" s="1"/>
      <c r="J130" s="1"/>
      <c r="L130" s="22"/>
      <c r="M130" s="3"/>
      <c r="N130" s="3"/>
      <c r="O130" s="3"/>
      <c r="P130" s="3"/>
      <c r="Q130" s="3"/>
      <c r="R130" s="3"/>
      <c r="S130" s="3"/>
      <c r="T130" s="3"/>
      <c r="U130" s="3"/>
    </row>
    <row r="131" spans="1:21" ht="15.75" x14ac:dyDescent="0.25">
      <c r="A131" s="56"/>
      <c r="B131" s="1"/>
      <c r="C131" s="1"/>
      <c r="D131" s="1"/>
      <c r="E131" s="1"/>
      <c r="F131" s="21"/>
      <c r="G131" s="21"/>
      <c r="H131" s="1"/>
      <c r="I131" s="1"/>
      <c r="J131" s="1"/>
      <c r="L131" s="22"/>
      <c r="M131" s="3"/>
      <c r="N131" s="3"/>
      <c r="O131" s="3"/>
      <c r="P131" s="3"/>
      <c r="Q131" s="3"/>
      <c r="R131" s="3"/>
      <c r="S131" s="3"/>
      <c r="T131" s="3"/>
      <c r="U131" s="3"/>
    </row>
    <row r="132" spans="1:21" ht="15.75" x14ac:dyDescent="0.25">
      <c r="A132" s="56"/>
      <c r="B132" s="1"/>
      <c r="C132" s="1"/>
      <c r="D132" s="1"/>
      <c r="E132" s="1"/>
      <c r="F132" s="21"/>
      <c r="G132" s="21"/>
      <c r="H132" s="1"/>
      <c r="I132" s="1"/>
      <c r="J132" s="1"/>
      <c r="L132" s="22"/>
      <c r="M132" s="3"/>
      <c r="N132" s="3"/>
      <c r="O132" s="3"/>
      <c r="P132" s="3"/>
      <c r="Q132" s="3"/>
      <c r="R132" s="3"/>
      <c r="S132" s="3"/>
      <c r="T132" s="3"/>
      <c r="U132" s="3"/>
    </row>
    <row r="133" spans="1:21" ht="15.75" x14ac:dyDescent="0.25">
      <c r="A133" s="56"/>
      <c r="B133" s="1"/>
      <c r="C133" s="1"/>
      <c r="D133" s="1"/>
      <c r="E133" s="1"/>
      <c r="F133" s="21"/>
      <c r="G133" s="21"/>
      <c r="H133" s="1"/>
      <c r="I133" s="1"/>
      <c r="J133" s="1"/>
      <c r="L133" s="22"/>
      <c r="M133" s="3"/>
      <c r="N133" s="3"/>
      <c r="O133" s="3"/>
      <c r="P133" s="3"/>
      <c r="Q133" s="3"/>
      <c r="R133" s="3"/>
      <c r="S133" s="3"/>
      <c r="T133" s="3"/>
      <c r="U133" s="3"/>
    </row>
    <row r="134" spans="1:21" ht="15.75" x14ac:dyDescent="0.25">
      <c r="A134" s="56"/>
      <c r="B134" s="1"/>
      <c r="C134" s="1"/>
      <c r="D134" s="1"/>
      <c r="E134" s="1"/>
      <c r="F134" s="21"/>
      <c r="G134" s="21"/>
      <c r="H134" s="1"/>
      <c r="I134" s="1"/>
      <c r="J134" s="1"/>
      <c r="L134" s="22"/>
      <c r="M134" s="3"/>
      <c r="N134" s="3"/>
      <c r="O134" s="3"/>
      <c r="P134" s="3"/>
      <c r="Q134" s="3"/>
      <c r="R134" s="3"/>
      <c r="S134" s="3"/>
      <c r="T134" s="3"/>
      <c r="U134" s="3"/>
    </row>
    <row r="135" spans="1:21" ht="15.75" x14ac:dyDescent="0.25">
      <c r="A135" s="56"/>
      <c r="B135" s="1"/>
      <c r="C135" s="1"/>
      <c r="D135" s="1"/>
      <c r="E135" s="1"/>
      <c r="F135" s="21"/>
      <c r="G135" s="21"/>
      <c r="H135" s="1"/>
      <c r="I135" s="1"/>
      <c r="J135" s="1"/>
      <c r="L135" s="22"/>
      <c r="M135" s="3"/>
      <c r="N135" s="3"/>
      <c r="O135" s="3"/>
      <c r="P135" s="3"/>
      <c r="Q135" s="3"/>
      <c r="R135" s="3"/>
      <c r="S135" s="3"/>
      <c r="T135" s="3"/>
      <c r="U135" s="3"/>
    </row>
    <row r="136" spans="1:21" ht="15.75" x14ac:dyDescent="0.25">
      <c r="A136" s="56"/>
      <c r="B136" s="1"/>
      <c r="C136" s="1"/>
      <c r="D136" s="1"/>
      <c r="E136" s="1"/>
      <c r="F136" s="21"/>
      <c r="G136" s="21"/>
      <c r="H136" s="1"/>
      <c r="I136" s="1"/>
      <c r="J136" s="1"/>
      <c r="L136" s="22"/>
      <c r="M136" s="3"/>
      <c r="N136" s="3"/>
      <c r="O136" s="3"/>
      <c r="P136" s="3"/>
      <c r="Q136" s="3"/>
      <c r="R136" s="3"/>
      <c r="S136" s="3"/>
      <c r="T136" s="3"/>
      <c r="U136" s="3"/>
    </row>
    <row r="137" spans="1:21" ht="15.75" x14ac:dyDescent="0.25">
      <c r="A137" s="56"/>
      <c r="B137" s="1"/>
      <c r="C137" s="1"/>
      <c r="D137" s="1"/>
      <c r="E137" s="1"/>
      <c r="F137" s="21"/>
      <c r="G137" s="21"/>
      <c r="H137" s="1"/>
      <c r="I137" s="1"/>
      <c r="J137" s="1"/>
      <c r="L137" s="22"/>
      <c r="M137" s="3"/>
      <c r="N137" s="3"/>
      <c r="O137" s="3"/>
      <c r="P137" s="3"/>
      <c r="Q137" s="3"/>
      <c r="R137" s="3"/>
      <c r="S137" s="3"/>
      <c r="T137" s="3"/>
      <c r="U137" s="3"/>
    </row>
    <row r="138" spans="1:21" ht="15.75" x14ac:dyDescent="0.25">
      <c r="A138" s="56"/>
      <c r="B138" s="1"/>
      <c r="C138" s="1"/>
      <c r="D138" s="1"/>
      <c r="E138" s="1"/>
      <c r="F138" s="21"/>
      <c r="G138" s="21"/>
      <c r="H138" s="1"/>
      <c r="I138" s="1"/>
      <c r="J138" s="1"/>
      <c r="L138" s="22"/>
      <c r="M138" s="3"/>
      <c r="N138" s="3"/>
      <c r="O138" s="3"/>
      <c r="P138" s="3"/>
      <c r="Q138" s="3"/>
      <c r="R138" s="3"/>
      <c r="S138" s="3"/>
      <c r="T138" s="3"/>
      <c r="U138" s="3"/>
    </row>
    <row r="139" spans="1:21" ht="15.75" x14ac:dyDescent="0.25">
      <c r="A139" s="56"/>
      <c r="B139" s="1"/>
      <c r="C139" s="1"/>
      <c r="D139" s="1"/>
      <c r="E139" s="1"/>
      <c r="F139" s="21"/>
      <c r="G139" s="21"/>
      <c r="H139" s="1"/>
      <c r="I139" s="1"/>
      <c r="J139" s="1"/>
      <c r="L139" s="22"/>
      <c r="M139" s="3"/>
      <c r="N139" s="3"/>
      <c r="O139" s="3"/>
      <c r="P139" s="3"/>
      <c r="Q139" s="3"/>
      <c r="R139" s="3"/>
      <c r="S139" s="3"/>
      <c r="T139" s="3"/>
      <c r="U139" s="3"/>
    </row>
    <row r="140" spans="1:21" ht="15.75" x14ac:dyDescent="0.25">
      <c r="A140" s="56"/>
      <c r="B140" s="1"/>
      <c r="C140" s="1"/>
      <c r="D140" s="1"/>
      <c r="E140" s="1"/>
      <c r="F140" s="21"/>
      <c r="G140" s="21"/>
      <c r="H140" s="1"/>
      <c r="I140" s="1"/>
      <c r="J140" s="1"/>
      <c r="L140" s="22"/>
      <c r="M140" s="3"/>
      <c r="N140" s="3"/>
      <c r="O140" s="3"/>
      <c r="P140" s="3"/>
      <c r="Q140" s="3"/>
      <c r="R140" s="3"/>
      <c r="S140" s="3"/>
      <c r="T140" s="3"/>
      <c r="U140" s="3"/>
    </row>
    <row r="141" spans="1:21" ht="15.75" x14ac:dyDescent="0.25">
      <c r="A141" s="56"/>
      <c r="B141" s="1"/>
      <c r="C141" s="1"/>
      <c r="D141" s="1"/>
      <c r="E141" s="1"/>
      <c r="F141" s="21"/>
      <c r="G141" s="21"/>
      <c r="H141" s="1"/>
      <c r="I141" s="1"/>
      <c r="J141" s="1"/>
      <c r="L141" s="22"/>
      <c r="M141" s="3"/>
      <c r="N141" s="3"/>
      <c r="O141" s="3"/>
      <c r="P141" s="3"/>
      <c r="Q141" s="3"/>
      <c r="R141" s="3"/>
      <c r="S141" s="3"/>
      <c r="T141" s="3"/>
      <c r="U141" s="3"/>
    </row>
    <row r="142" spans="1:21" ht="15.75" x14ac:dyDescent="0.25">
      <c r="A142" s="56"/>
      <c r="B142" s="1"/>
      <c r="C142" s="1"/>
      <c r="D142" s="1"/>
      <c r="E142" s="1"/>
      <c r="F142" s="21"/>
      <c r="G142" s="21"/>
      <c r="H142" s="1"/>
      <c r="I142" s="1"/>
      <c r="J142" s="1"/>
      <c r="L142" s="22"/>
      <c r="M142" s="3"/>
      <c r="N142" s="3"/>
      <c r="O142" s="3"/>
      <c r="P142" s="3"/>
      <c r="Q142" s="3"/>
      <c r="R142" s="3"/>
      <c r="S142" s="3"/>
      <c r="T142" s="3"/>
      <c r="U142" s="3"/>
    </row>
    <row r="143" spans="1:21" ht="15.75" x14ac:dyDescent="0.25">
      <c r="A143" s="56"/>
      <c r="B143" s="1"/>
      <c r="C143" s="1"/>
      <c r="D143" s="1"/>
      <c r="E143" s="1"/>
      <c r="F143" s="21"/>
      <c r="G143" s="21"/>
      <c r="H143" s="1"/>
      <c r="I143" s="1"/>
      <c r="J143" s="1"/>
      <c r="L143" s="22"/>
      <c r="M143" s="3"/>
      <c r="N143" s="3"/>
      <c r="O143" s="3"/>
      <c r="P143" s="3"/>
      <c r="Q143" s="3"/>
      <c r="R143" s="3"/>
      <c r="S143" s="3"/>
      <c r="T143" s="3"/>
      <c r="U143" s="3"/>
    </row>
    <row r="144" spans="1:21" ht="15.75" x14ac:dyDescent="0.25">
      <c r="A144" s="56"/>
      <c r="B144" s="1"/>
      <c r="C144" s="1"/>
      <c r="D144" s="1"/>
      <c r="E144" s="1"/>
      <c r="F144" s="21"/>
      <c r="G144" s="21"/>
      <c r="H144" s="1"/>
      <c r="I144" s="1"/>
      <c r="J144" s="1"/>
      <c r="L144" s="22"/>
      <c r="M144" s="3"/>
      <c r="N144" s="3"/>
      <c r="O144" s="3"/>
      <c r="P144" s="3"/>
      <c r="Q144" s="3"/>
      <c r="R144" s="3"/>
      <c r="S144" s="3"/>
      <c r="T144" s="3"/>
      <c r="U144" s="3"/>
    </row>
    <row r="145" spans="1:21" ht="15.75" x14ac:dyDescent="0.25">
      <c r="A145" s="56"/>
      <c r="B145" s="1"/>
      <c r="C145" s="1"/>
      <c r="D145" s="1"/>
      <c r="E145" s="1"/>
      <c r="F145" s="21"/>
      <c r="G145" s="21"/>
      <c r="H145" s="1"/>
      <c r="I145" s="1"/>
      <c r="J145" s="1"/>
      <c r="L145" s="22"/>
      <c r="M145" s="3"/>
      <c r="N145" s="3"/>
      <c r="O145" s="3"/>
      <c r="P145" s="3"/>
      <c r="Q145" s="3"/>
      <c r="R145" s="3"/>
      <c r="S145" s="3"/>
      <c r="T145" s="3"/>
      <c r="U145" s="3"/>
    </row>
    <row r="146" spans="1:21" ht="15.75" x14ac:dyDescent="0.25">
      <c r="A146" s="56"/>
      <c r="B146" s="1"/>
      <c r="C146" s="1"/>
      <c r="D146" s="1"/>
      <c r="E146" s="1"/>
      <c r="F146" s="21"/>
      <c r="G146" s="21"/>
      <c r="H146" s="1"/>
      <c r="I146" s="1"/>
      <c r="J146" s="1"/>
      <c r="L146" s="22"/>
      <c r="M146" s="3"/>
      <c r="N146" s="3"/>
      <c r="O146" s="3"/>
      <c r="P146" s="3"/>
      <c r="Q146" s="3"/>
      <c r="R146" s="3"/>
      <c r="S146" s="3"/>
      <c r="T146" s="3"/>
      <c r="U146" s="3"/>
    </row>
    <row r="147" spans="1:21" ht="15.75" x14ac:dyDescent="0.25">
      <c r="A147" s="56"/>
      <c r="B147" s="1"/>
      <c r="C147" s="1"/>
      <c r="D147" s="1"/>
      <c r="E147" s="1"/>
      <c r="F147" s="21"/>
      <c r="G147" s="21"/>
      <c r="H147" s="1"/>
      <c r="I147" s="1"/>
      <c r="J147" s="1"/>
      <c r="L147" s="22"/>
      <c r="M147" s="3"/>
      <c r="N147" s="3"/>
      <c r="O147" s="3"/>
      <c r="P147" s="3"/>
      <c r="Q147" s="3"/>
      <c r="R147" s="3"/>
      <c r="S147" s="3"/>
      <c r="T147" s="3"/>
      <c r="U147" s="3"/>
    </row>
    <row r="148" spans="1:21" ht="15.75" x14ac:dyDescent="0.25">
      <c r="A148" s="56"/>
      <c r="B148" s="1"/>
      <c r="C148" s="1"/>
      <c r="D148" s="1"/>
      <c r="E148" s="1"/>
      <c r="F148" s="21"/>
      <c r="G148" s="21"/>
      <c r="H148" s="1"/>
      <c r="I148" s="1"/>
      <c r="J148" s="1"/>
      <c r="L148" s="22"/>
      <c r="M148" s="3"/>
      <c r="N148" s="3"/>
      <c r="O148" s="3"/>
      <c r="P148" s="3"/>
      <c r="Q148" s="3"/>
      <c r="R148" s="3"/>
      <c r="S148" s="3"/>
      <c r="T148" s="3"/>
      <c r="U148" s="3"/>
    </row>
    <row r="149" spans="1:21" ht="15.75" x14ac:dyDescent="0.25">
      <c r="A149" s="56"/>
      <c r="B149" s="1"/>
      <c r="C149" s="1"/>
      <c r="D149" s="1"/>
      <c r="E149" s="1"/>
      <c r="F149" s="21"/>
      <c r="G149" s="21"/>
      <c r="H149" s="1"/>
      <c r="I149" s="1"/>
      <c r="J149" s="1"/>
      <c r="L149" s="22"/>
      <c r="M149" s="3"/>
      <c r="N149" s="3"/>
      <c r="O149" s="3"/>
      <c r="P149" s="3"/>
      <c r="Q149" s="3"/>
      <c r="R149" s="3"/>
      <c r="S149" s="3"/>
      <c r="T149" s="3"/>
      <c r="U149" s="3"/>
    </row>
    <row r="150" spans="1:21" ht="15.75" x14ac:dyDescent="0.25">
      <c r="A150" s="56"/>
      <c r="B150" s="1"/>
      <c r="C150" s="1"/>
      <c r="D150" s="1"/>
      <c r="E150" s="1"/>
      <c r="F150" s="21"/>
      <c r="G150" s="21"/>
      <c r="H150" s="1"/>
      <c r="I150" s="1"/>
      <c r="J150" s="1"/>
      <c r="L150" s="22"/>
      <c r="M150" s="3"/>
      <c r="N150" s="3"/>
      <c r="O150" s="3"/>
      <c r="P150" s="3"/>
      <c r="Q150" s="3"/>
      <c r="R150" s="3"/>
      <c r="S150" s="3"/>
      <c r="T150" s="3"/>
      <c r="U150" s="3"/>
    </row>
    <row r="151" spans="1:21" ht="15.75" x14ac:dyDescent="0.25">
      <c r="A151" s="56"/>
      <c r="B151" s="1"/>
      <c r="C151" s="1"/>
      <c r="D151" s="1"/>
      <c r="E151" s="1"/>
      <c r="F151" s="21"/>
      <c r="G151" s="21"/>
      <c r="H151" s="1"/>
      <c r="I151" s="1"/>
      <c r="J151" s="1"/>
      <c r="L151" s="22"/>
      <c r="M151" s="3"/>
      <c r="N151" s="3"/>
      <c r="O151" s="3"/>
      <c r="P151" s="3"/>
      <c r="Q151" s="3"/>
      <c r="R151" s="3"/>
      <c r="S151" s="3"/>
      <c r="T151" s="3"/>
      <c r="U151" s="3"/>
    </row>
    <row r="152" spans="1:21" ht="15.75" x14ac:dyDescent="0.25">
      <c r="A152" s="56"/>
      <c r="B152" s="1"/>
      <c r="C152" s="1"/>
      <c r="D152" s="1"/>
      <c r="E152" s="1"/>
      <c r="F152" s="21"/>
      <c r="G152" s="21"/>
      <c r="H152" s="1"/>
      <c r="I152" s="1"/>
      <c r="J152" s="1"/>
      <c r="L152" s="22"/>
      <c r="M152" s="3"/>
      <c r="N152" s="3"/>
      <c r="O152" s="3"/>
      <c r="P152" s="3"/>
      <c r="Q152" s="3"/>
      <c r="R152" s="3"/>
      <c r="S152" s="3"/>
      <c r="T152" s="3"/>
      <c r="U152" s="3"/>
    </row>
    <row r="153" spans="1:21" ht="15.75" x14ac:dyDescent="0.25">
      <c r="A153" s="56"/>
      <c r="B153" s="1"/>
      <c r="C153" s="1"/>
      <c r="D153" s="1"/>
      <c r="E153" s="1"/>
      <c r="F153" s="21"/>
      <c r="G153" s="21"/>
      <c r="H153" s="1"/>
      <c r="I153" s="1"/>
      <c r="J153" s="1"/>
      <c r="L153" s="22"/>
      <c r="M153" s="3"/>
      <c r="N153" s="3"/>
      <c r="O153" s="3"/>
      <c r="P153" s="3"/>
      <c r="Q153" s="3"/>
      <c r="R153" s="3"/>
      <c r="S153" s="3"/>
      <c r="T153" s="3"/>
      <c r="U153" s="3"/>
    </row>
    <row r="154" spans="1:21" ht="15.75" x14ac:dyDescent="0.25">
      <c r="A154" s="56"/>
      <c r="B154" s="1"/>
      <c r="C154" s="1"/>
      <c r="D154" s="1"/>
      <c r="E154" s="1"/>
      <c r="F154" s="21"/>
      <c r="G154" s="21"/>
      <c r="H154" s="1"/>
      <c r="I154" s="1"/>
      <c r="J154" s="1"/>
      <c r="L154" s="22"/>
      <c r="M154" s="3"/>
      <c r="N154" s="3"/>
      <c r="O154" s="3"/>
      <c r="P154" s="3"/>
      <c r="Q154" s="3"/>
      <c r="R154" s="3"/>
      <c r="S154" s="3"/>
      <c r="T154" s="3"/>
      <c r="U154" s="3"/>
    </row>
    <row r="155" spans="1:21" ht="15.75" x14ac:dyDescent="0.25">
      <c r="A155" s="56"/>
      <c r="B155" s="1"/>
      <c r="C155" s="1"/>
      <c r="D155" s="1"/>
      <c r="E155" s="1"/>
      <c r="F155" s="21"/>
      <c r="G155" s="21"/>
      <c r="H155" s="1"/>
      <c r="I155" s="1"/>
      <c r="J155" s="1"/>
      <c r="L155" s="22"/>
      <c r="M155" s="3"/>
      <c r="N155" s="3"/>
      <c r="O155" s="3"/>
      <c r="P155" s="3"/>
      <c r="Q155" s="3"/>
      <c r="R155" s="3"/>
      <c r="S155" s="3"/>
      <c r="T155" s="3"/>
      <c r="U155" s="3"/>
    </row>
    <row r="156" spans="1:21" ht="15.75" x14ac:dyDescent="0.25">
      <c r="A156" s="56"/>
      <c r="B156" s="1"/>
      <c r="C156" s="1"/>
      <c r="D156" s="1"/>
      <c r="E156" s="1"/>
      <c r="F156" s="21"/>
      <c r="G156" s="21"/>
      <c r="H156" s="1"/>
      <c r="I156" s="1"/>
      <c r="J156" s="1"/>
      <c r="L156" s="22"/>
      <c r="M156" s="3"/>
      <c r="N156" s="3"/>
      <c r="O156" s="3"/>
      <c r="P156" s="3"/>
      <c r="Q156" s="3"/>
      <c r="R156" s="3"/>
      <c r="S156" s="3"/>
      <c r="T156" s="3"/>
      <c r="U156" s="3"/>
    </row>
    <row r="157" spans="1:21" ht="15.75" x14ac:dyDescent="0.25">
      <c r="A157" s="56"/>
      <c r="B157" s="1"/>
      <c r="C157" s="1"/>
      <c r="D157" s="1"/>
      <c r="E157" s="1"/>
      <c r="F157" s="21"/>
      <c r="G157" s="21"/>
      <c r="H157" s="1"/>
      <c r="I157" s="1"/>
      <c r="J157" s="1"/>
      <c r="L157" s="22"/>
      <c r="M157" s="3"/>
      <c r="N157" s="3"/>
      <c r="O157" s="3"/>
      <c r="P157" s="3"/>
      <c r="Q157" s="3"/>
      <c r="R157" s="3"/>
      <c r="S157" s="3"/>
      <c r="T157" s="3"/>
      <c r="U157" s="3"/>
    </row>
    <row r="158" spans="1:21" ht="15.75" x14ac:dyDescent="0.25">
      <c r="A158" s="56"/>
      <c r="B158" s="1"/>
      <c r="C158" s="1"/>
      <c r="D158" s="1"/>
      <c r="E158" s="1"/>
      <c r="F158" s="21"/>
      <c r="G158" s="21"/>
      <c r="H158" s="1"/>
      <c r="I158" s="1"/>
      <c r="J158" s="1"/>
      <c r="L158" s="22"/>
      <c r="M158" s="3"/>
      <c r="N158" s="3"/>
      <c r="O158" s="3"/>
      <c r="P158" s="3"/>
      <c r="Q158" s="3"/>
      <c r="R158" s="3"/>
      <c r="S158" s="3"/>
      <c r="T158" s="3"/>
      <c r="U158" s="3"/>
    </row>
    <row r="159" spans="1:21" ht="15.75" x14ac:dyDescent="0.25">
      <c r="A159" s="56"/>
      <c r="B159" s="1"/>
      <c r="C159" s="1"/>
      <c r="D159" s="1"/>
      <c r="E159" s="1"/>
      <c r="F159" s="21"/>
      <c r="G159" s="21"/>
      <c r="H159" s="1"/>
      <c r="I159" s="1"/>
      <c r="J159" s="1"/>
      <c r="L159" s="22"/>
      <c r="M159" s="3"/>
      <c r="N159" s="3"/>
      <c r="O159" s="3"/>
      <c r="P159" s="3"/>
      <c r="Q159" s="3"/>
      <c r="R159" s="3"/>
      <c r="S159" s="3"/>
      <c r="T159" s="3"/>
      <c r="U159" s="3"/>
    </row>
    <row r="160" spans="1:21" ht="15.75" x14ac:dyDescent="0.25">
      <c r="A160" s="56"/>
      <c r="B160" s="1"/>
      <c r="C160" s="1"/>
      <c r="D160" s="1"/>
      <c r="E160" s="1"/>
      <c r="F160" s="21"/>
      <c r="G160" s="21"/>
      <c r="H160" s="1"/>
      <c r="I160" s="1"/>
      <c r="J160" s="1"/>
      <c r="L160" s="22"/>
      <c r="M160" s="3"/>
      <c r="N160" s="3"/>
      <c r="O160" s="3"/>
      <c r="P160" s="3"/>
      <c r="Q160" s="3"/>
      <c r="R160" s="3"/>
      <c r="S160" s="3"/>
      <c r="T160" s="3"/>
      <c r="U160" s="3"/>
    </row>
    <row r="161" spans="1:21" ht="15.75" x14ac:dyDescent="0.25">
      <c r="A161" s="56"/>
      <c r="B161" s="1"/>
      <c r="C161" s="1"/>
      <c r="D161" s="1"/>
      <c r="E161" s="1"/>
      <c r="F161" s="21"/>
      <c r="G161" s="21"/>
      <c r="H161" s="1"/>
      <c r="I161" s="1"/>
      <c r="J161" s="1"/>
      <c r="L161" s="22"/>
      <c r="M161" s="3"/>
      <c r="N161" s="3"/>
      <c r="O161" s="3"/>
      <c r="P161" s="3"/>
      <c r="Q161" s="3"/>
      <c r="R161" s="3"/>
      <c r="S161" s="3"/>
      <c r="T161" s="3"/>
      <c r="U161" s="3"/>
    </row>
    <row r="162" spans="1:21" ht="15.75" x14ac:dyDescent="0.25">
      <c r="A162" s="56"/>
      <c r="B162" s="1"/>
      <c r="C162" s="1"/>
      <c r="D162" s="1"/>
      <c r="E162" s="1"/>
      <c r="F162" s="21"/>
      <c r="G162" s="21"/>
      <c r="H162" s="1"/>
      <c r="I162" s="1"/>
      <c r="J162" s="1"/>
      <c r="L162" s="22"/>
      <c r="M162" s="3"/>
      <c r="N162" s="3"/>
      <c r="O162" s="3"/>
      <c r="P162" s="3"/>
      <c r="Q162" s="3"/>
      <c r="R162" s="3"/>
      <c r="S162" s="3"/>
      <c r="T162" s="3"/>
      <c r="U162" s="3"/>
    </row>
    <row r="163" spans="1:21" ht="15.75" x14ac:dyDescent="0.25">
      <c r="A163" s="56"/>
      <c r="B163" s="1"/>
      <c r="C163" s="1"/>
      <c r="D163" s="1"/>
      <c r="E163" s="1"/>
      <c r="F163" s="21"/>
      <c r="G163" s="21"/>
      <c r="H163" s="1"/>
      <c r="I163" s="1"/>
      <c r="J163" s="1"/>
      <c r="L163" s="22"/>
      <c r="M163" s="3"/>
      <c r="N163" s="3"/>
      <c r="O163" s="3"/>
      <c r="P163" s="3"/>
      <c r="Q163" s="3"/>
      <c r="R163" s="3"/>
      <c r="S163" s="3"/>
      <c r="T163" s="3"/>
      <c r="U163" s="3"/>
    </row>
    <row r="164" spans="1:21" ht="15.75" x14ac:dyDescent="0.25">
      <c r="A164" s="56"/>
      <c r="B164" s="1"/>
      <c r="C164" s="1"/>
      <c r="D164" s="1"/>
      <c r="E164" s="1"/>
      <c r="F164" s="21"/>
      <c r="G164" s="21"/>
      <c r="H164" s="1"/>
      <c r="I164" s="1"/>
      <c r="J164" s="1"/>
      <c r="L164" s="22"/>
      <c r="M164" s="3"/>
      <c r="N164" s="3"/>
      <c r="O164" s="3"/>
      <c r="P164" s="3"/>
      <c r="Q164" s="3"/>
      <c r="R164" s="3"/>
      <c r="S164" s="3"/>
      <c r="T164" s="3"/>
      <c r="U164" s="3"/>
    </row>
    <row r="165" spans="1:21" ht="15.75" x14ac:dyDescent="0.25">
      <c r="A165" s="56"/>
      <c r="B165" s="1"/>
      <c r="C165" s="1"/>
      <c r="D165" s="1"/>
      <c r="E165" s="1"/>
      <c r="F165" s="21"/>
      <c r="G165" s="21"/>
      <c r="H165" s="1"/>
      <c r="I165" s="1"/>
      <c r="J165" s="1"/>
      <c r="L165" s="22"/>
      <c r="M165" s="3"/>
      <c r="N165" s="3"/>
      <c r="O165" s="3"/>
      <c r="P165" s="3"/>
      <c r="Q165" s="3"/>
      <c r="R165" s="3"/>
      <c r="S165" s="3"/>
      <c r="T165" s="3"/>
      <c r="U165" s="3"/>
    </row>
    <row r="166" spans="1:21" ht="15.75" x14ac:dyDescent="0.25">
      <c r="A166" s="56"/>
      <c r="B166" s="1"/>
      <c r="C166" s="1"/>
      <c r="D166" s="1"/>
      <c r="E166" s="1"/>
      <c r="F166" s="21"/>
      <c r="G166" s="21"/>
      <c r="H166" s="1"/>
      <c r="I166" s="1"/>
      <c r="J166" s="1"/>
      <c r="L166" s="22"/>
      <c r="M166" s="3"/>
      <c r="N166" s="3"/>
      <c r="O166" s="3"/>
      <c r="P166" s="3"/>
      <c r="Q166" s="3"/>
      <c r="R166" s="3"/>
      <c r="S166" s="3"/>
      <c r="T166" s="3"/>
      <c r="U166" s="3"/>
    </row>
    <row r="167" spans="1:21" ht="15.75" x14ac:dyDescent="0.25">
      <c r="A167" s="56"/>
      <c r="B167" s="1"/>
      <c r="C167" s="1"/>
      <c r="D167" s="1"/>
      <c r="E167" s="1"/>
      <c r="F167" s="21"/>
      <c r="G167" s="21"/>
      <c r="H167" s="1"/>
      <c r="I167" s="1"/>
      <c r="J167" s="1"/>
      <c r="L167" s="22"/>
      <c r="M167" s="3"/>
      <c r="N167" s="3"/>
      <c r="O167" s="3"/>
      <c r="P167" s="3"/>
      <c r="Q167" s="3"/>
      <c r="R167" s="3"/>
      <c r="S167" s="3"/>
      <c r="T167" s="3"/>
      <c r="U167" s="3"/>
    </row>
    <row r="168" spans="1:21" ht="15.75" x14ac:dyDescent="0.25">
      <c r="A168" s="56"/>
      <c r="B168" s="1"/>
      <c r="C168" s="1"/>
      <c r="D168" s="1"/>
      <c r="E168" s="1"/>
      <c r="F168" s="21"/>
      <c r="G168" s="21"/>
      <c r="H168" s="1"/>
      <c r="I168" s="1"/>
      <c r="J168" s="1"/>
      <c r="L168" s="22"/>
      <c r="M168" s="3"/>
      <c r="N168" s="3"/>
      <c r="O168" s="3"/>
      <c r="P168" s="3"/>
      <c r="Q168" s="3"/>
      <c r="R168" s="3"/>
      <c r="S168" s="3"/>
      <c r="T168" s="3"/>
      <c r="U168" s="3"/>
    </row>
    <row r="169" spans="1:21" ht="15.75" x14ac:dyDescent="0.25">
      <c r="A169" s="56"/>
      <c r="B169" s="1"/>
      <c r="C169" s="1"/>
      <c r="D169" s="1"/>
      <c r="E169" s="1"/>
      <c r="F169" s="21"/>
      <c r="G169" s="21"/>
      <c r="H169" s="1"/>
      <c r="I169" s="1"/>
      <c r="J169" s="1"/>
      <c r="L169" s="22"/>
      <c r="M169" s="3"/>
      <c r="N169" s="3"/>
      <c r="O169" s="3"/>
      <c r="P169" s="3"/>
      <c r="Q169" s="3"/>
      <c r="R169" s="3"/>
      <c r="S169" s="3"/>
      <c r="T169" s="3"/>
      <c r="U169" s="3"/>
    </row>
    <row r="170" spans="1:21" ht="15.75" x14ac:dyDescent="0.25">
      <c r="A170" s="56"/>
      <c r="B170" s="1"/>
      <c r="C170" s="1"/>
      <c r="D170" s="1"/>
      <c r="E170" s="1"/>
      <c r="F170" s="21"/>
      <c r="G170" s="21"/>
      <c r="H170" s="1"/>
      <c r="I170" s="1"/>
      <c r="J170" s="1"/>
      <c r="L170" s="22"/>
      <c r="M170" s="3"/>
      <c r="N170" s="3"/>
      <c r="O170" s="3"/>
      <c r="P170" s="3"/>
      <c r="Q170" s="3"/>
      <c r="R170" s="3"/>
      <c r="S170" s="3"/>
      <c r="T170" s="3"/>
      <c r="U170" s="3"/>
    </row>
    <row r="171" spans="1:21" ht="15.75" x14ac:dyDescent="0.25">
      <c r="A171" s="56"/>
      <c r="B171" s="1"/>
      <c r="C171" s="1"/>
      <c r="D171" s="1"/>
      <c r="E171" s="1"/>
      <c r="F171" s="21"/>
      <c r="G171" s="21"/>
      <c r="H171" s="1"/>
      <c r="I171" s="1"/>
      <c r="J171" s="1"/>
      <c r="L171" s="22"/>
      <c r="M171" s="3"/>
      <c r="N171" s="3"/>
      <c r="O171" s="3"/>
      <c r="P171" s="3"/>
      <c r="Q171" s="3"/>
      <c r="R171" s="3"/>
      <c r="S171" s="3"/>
      <c r="T171" s="3"/>
      <c r="U171" s="3"/>
    </row>
    <row r="172" spans="1:21" ht="15.75" x14ac:dyDescent="0.25">
      <c r="A172" s="56"/>
      <c r="B172" s="1"/>
      <c r="C172" s="1"/>
      <c r="D172" s="1"/>
      <c r="E172" s="1"/>
      <c r="F172" s="21"/>
      <c r="G172" s="21"/>
      <c r="H172" s="1"/>
      <c r="I172" s="1"/>
      <c r="J172" s="1"/>
      <c r="L172" s="22"/>
      <c r="M172" s="3"/>
      <c r="N172" s="3"/>
      <c r="O172" s="3"/>
      <c r="P172" s="3"/>
      <c r="Q172" s="3"/>
      <c r="R172" s="3"/>
      <c r="S172" s="3"/>
      <c r="T172" s="3"/>
      <c r="U172" s="3"/>
    </row>
    <row r="173" spans="1:21" ht="15.75" x14ac:dyDescent="0.25">
      <c r="A173" s="56"/>
      <c r="B173" s="1"/>
      <c r="C173" s="1"/>
      <c r="D173" s="1"/>
      <c r="E173" s="1"/>
      <c r="F173" s="21"/>
      <c r="G173" s="21"/>
      <c r="H173" s="1"/>
      <c r="I173" s="1"/>
      <c r="J173" s="1"/>
      <c r="L173" s="22"/>
      <c r="M173" s="3"/>
      <c r="N173" s="3"/>
      <c r="O173" s="3"/>
      <c r="P173" s="3"/>
      <c r="Q173" s="3"/>
      <c r="R173" s="3"/>
      <c r="S173" s="3"/>
      <c r="T173" s="3"/>
      <c r="U173" s="3"/>
    </row>
    <row r="174" spans="1:21" ht="15.75" x14ac:dyDescent="0.25">
      <c r="A174" s="56"/>
      <c r="B174" s="1"/>
      <c r="C174" s="1"/>
      <c r="D174" s="1"/>
      <c r="E174" s="1"/>
      <c r="F174" s="21"/>
      <c r="G174" s="21"/>
      <c r="H174" s="1"/>
      <c r="I174" s="1"/>
      <c r="J174" s="1"/>
      <c r="L174" s="22"/>
      <c r="M174" s="3"/>
      <c r="N174" s="3"/>
      <c r="O174" s="3"/>
      <c r="P174" s="3"/>
      <c r="Q174" s="3"/>
      <c r="R174" s="3"/>
      <c r="S174" s="3"/>
      <c r="T174" s="3"/>
      <c r="U174" s="3"/>
    </row>
    <row r="175" spans="1:21" ht="15.75" x14ac:dyDescent="0.25">
      <c r="A175" s="56"/>
      <c r="B175" s="1"/>
      <c r="C175" s="1"/>
      <c r="D175" s="1"/>
      <c r="E175" s="1"/>
      <c r="F175" s="21"/>
      <c r="G175" s="21"/>
      <c r="H175" s="1"/>
      <c r="I175" s="1"/>
      <c r="J175" s="1"/>
      <c r="L175" s="22"/>
      <c r="M175" s="3"/>
      <c r="N175" s="3"/>
      <c r="O175" s="3"/>
      <c r="P175" s="3"/>
      <c r="Q175" s="3"/>
      <c r="R175" s="3"/>
      <c r="S175" s="3"/>
      <c r="T175" s="3"/>
      <c r="U175" s="3"/>
    </row>
    <row r="176" spans="1:21" ht="15.75" x14ac:dyDescent="0.25">
      <c r="A176" s="56"/>
      <c r="B176" s="1"/>
      <c r="C176" s="1"/>
      <c r="D176" s="1"/>
      <c r="E176" s="1"/>
      <c r="F176" s="21"/>
      <c r="G176" s="21"/>
      <c r="H176" s="1"/>
      <c r="I176" s="1"/>
      <c r="J176" s="1"/>
      <c r="L176" s="22"/>
      <c r="M176" s="3"/>
      <c r="N176" s="3"/>
      <c r="O176" s="3"/>
      <c r="P176" s="3"/>
      <c r="Q176" s="3"/>
      <c r="R176" s="3"/>
      <c r="S176" s="3"/>
      <c r="T176" s="3"/>
      <c r="U176" s="3"/>
    </row>
    <row r="177" spans="1:21" ht="15.75" x14ac:dyDescent="0.25">
      <c r="A177" s="56"/>
      <c r="B177" s="1"/>
      <c r="C177" s="1"/>
      <c r="D177" s="1"/>
      <c r="E177" s="1"/>
      <c r="F177" s="21"/>
      <c r="G177" s="21"/>
      <c r="H177" s="1"/>
      <c r="I177" s="1"/>
      <c r="J177" s="1"/>
      <c r="L177" s="22"/>
      <c r="M177" s="3"/>
      <c r="N177" s="3"/>
      <c r="O177" s="3"/>
      <c r="P177" s="3"/>
      <c r="Q177" s="3"/>
      <c r="R177" s="3"/>
      <c r="S177" s="3"/>
      <c r="T177" s="3"/>
      <c r="U177" s="3"/>
    </row>
    <row r="178" spans="1:21" ht="15.75" x14ac:dyDescent="0.25">
      <c r="A178" s="56"/>
      <c r="B178" s="1"/>
      <c r="C178" s="1"/>
      <c r="D178" s="1"/>
      <c r="E178" s="1"/>
      <c r="F178" s="21"/>
      <c r="G178" s="21"/>
      <c r="H178" s="1"/>
      <c r="I178" s="1"/>
      <c r="J178" s="1"/>
      <c r="L178" s="22"/>
      <c r="M178" s="3"/>
      <c r="N178" s="3"/>
      <c r="O178" s="3"/>
      <c r="P178" s="3"/>
      <c r="Q178" s="3"/>
      <c r="R178" s="3"/>
      <c r="S178" s="3"/>
      <c r="T178" s="3"/>
      <c r="U178" s="3"/>
    </row>
    <row r="179" spans="1:21" ht="15.75" x14ac:dyDescent="0.25">
      <c r="A179" s="56"/>
      <c r="B179" s="1"/>
      <c r="C179" s="1"/>
      <c r="D179" s="1"/>
      <c r="E179" s="1"/>
      <c r="F179" s="21"/>
      <c r="G179" s="21"/>
      <c r="H179" s="1"/>
      <c r="I179" s="1"/>
      <c r="J179" s="1"/>
      <c r="L179" s="22"/>
      <c r="M179" s="3"/>
      <c r="N179" s="3"/>
      <c r="O179" s="3"/>
      <c r="P179" s="3"/>
      <c r="Q179" s="3"/>
      <c r="R179" s="3"/>
      <c r="S179" s="3"/>
      <c r="T179" s="3"/>
      <c r="U179" s="3"/>
    </row>
    <row r="180" spans="1:21" ht="15.75" x14ac:dyDescent="0.25">
      <c r="A180" s="56"/>
      <c r="B180" s="1"/>
      <c r="C180" s="1"/>
      <c r="D180" s="1"/>
      <c r="E180" s="1"/>
      <c r="F180" s="21"/>
      <c r="G180" s="21"/>
      <c r="H180" s="1"/>
      <c r="I180" s="1"/>
      <c r="J180" s="1"/>
      <c r="L180" s="22"/>
      <c r="M180" s="3"/>
      <c r="N180" s="3"/>
      <c r="O180" s="3"/>
      <c r="P180" s="3"/>
      <c r="Q180" s="3"/>
      <c r="R180" s="3"/>
      <c r="S180" s="3"/>
      <c r="T180" s="3"/>
      <c r="U180" s="3"/>
    </row>
    <row r="181" spans="1:21" ht="15.75" x14ac:dyDescent="0.25">
      <c r="A181" s="56"/>
      <c r="B181" s="1"/>
      <c r="C181" s="1"/>
      <c r="D181" s="1"/>
      <c r="E181" s="1"/>
      <c r="F181" s="21"/>
      <c r="G181" s="21"/>
      <c r="H181" s="1"/>
      <c r="I181" s="1"/>
      <c r="J181" s="1"/>
      <c r="L181" s="22"/>
      <c r="M181" s="3"/>
      <c r="N181" s="3"/>
      <c r="O181" s="3"/>
      <c r="P181" s="3"/>
      <c r="Q181" s="3"/>
      <c r="R181" s="3"/>
      <c r="S181" s="3"/>
      <c r="T181" s="3"/>
      <c r="U181" s="3"/>
    </row>
    <row r="182" spans="1:21" ht="15.75" x14ac:dyDescent="0.25">
      <c r="A182" s="56"/>
      <c r="B182" s="1"/>
      <c r="C182" s="1"/>
      <c r="D182" s="1"/>
      <c r="E182" s="1"/>
      <c r="F182" s="21"/>
      <c r="G182" s="21"/>
      <c r="H182" s="1"/>
      <c r="I182" s="1"/>
      <c r="J182" s="1"/>
      <c r="L182" s="22"/>
      <c r="M182" s="3"/>
      <c r="N182" s="3"/>
      <c r="O182" s="3"/>
      <c r="P182" s="3"/>
      <c r="Q182" s="3"/>
      <c r="R182" s="3"/>
      <c r="S182" s="3"/>
      <c r="T182" s="3"/>
      <c r="U182" s="3"/>
    </row>
    <row r="183" spans="1:21" ht="15.75" x14ac:dyDescent="0.25">
      <c r="A183" s="56"/>
      <c r="B183" s="1"/>
      <c r="C183" s="1"/>
      <c r="D183" s="1"/>
      <c r="E183" s="1"/>
      <c r="F183" s="21"/>
      <c r="G183" s="21"/>
      <c r="H183" s="1"/>
      <c r="I183" s="1"/>
      <c r="J183" s="1"/>
      <c r="L183" s="22"/>
      <c r="M183" s="3"/>
      <c r="N183" s="3"/>
      <c r="O183" s="3"/>
      <c r="P183" s="3"/>
      <c r="Q183" s="3"/>
      <c r="R183" s="3"/>
      <c r="S183" s="3"/>
      <c r="T183" s="3"/>
      <c r="U183" s="3"/>
    </row>
    <row r="184" spans="1:21" ht="15.75" x14ac:dyDescent="0.25">
      <c r="A184" s="56"/>
      <c r="B184" s="1"/>
      <c r="C184" s="1"/>
      <c r="D184" s="1"/>
      <c r="E184" s="1"/>
      <c r="F184" s="21"/>
      <c r="G184" s="21"/>
      <c r="H184" s="1"/>
      <c r="I184" s="1"/>
      <c r="J184" s="1"/>
      <c r="L184" s="22"/>
      <c r="M184" s="3"/>
      <c r="N184" s="3"/>
      <c r="O184" s="3"/>
      <c r="P184" s="3"/>
      <c r="Q184" s="3"/>
      <c r="R184" s="3"/>
      <c r="S184" s="3"/>
      <c r="T184" s="3"/>
      <c r="U184" s="3"/>
    </row>
    <row r="185" spans="1:21" ht="15.75" x14ac:dyDescent="0.25">
      <c r="A185" s="56"/>
      <c r="B185" s="1"/>
      <c r="C185" s="1"/>
      <c r="D185" s="1"/>
      <c r="E185" s="1"/>
      <c r="F185" s="21"/>
      <c r="G185" s="21"/>
      <c r="H185" s="1"/>
      <c r="I185" s="1"/>
      <c r="J185" s="1"/>
      <c r="L185" s="22"/>
      <c r="M185" s="3"/>
      <c r="N185" s="3"/>
      <c r="O185" s="3"/>
      <c r="P185" s="3"/>
      <c r="Q185" s="3"/>
      <c r="R185" s="3"/>
      <c r="S185" s="3"/>
      <c r="T185" s="3"/>
      <c r="U185" s="3"/>
    </row>
    <row r="186" spans="1:21" ht="15.75" x14ac:dyDescent="0.25">
      <c r="A186" s="56"/>
      <c r="B186" s="1"/>
      <c r="C186" s="1"/>
      <c r="D186" s="1"/>
      <c r="E186" s="1"/>
      <c r="F186" s="21"/>
      <c r="G186" s="21"/>
      <c r="H186" s="1"/>
      <c r="I186" s="1"/>
      <c r="J186" s="1"/>
      <c r="L186" s="22"/>
      <c r="M186" s="3"/>
      <c r="N186" s="3"/>
      <c r="O186" s="3"/>
      <c r="P186" s="3"/>
      <c r="Q186" s="3"/>
      <c r="R186" s="3"/>
      <c r="S186" s="3"/>
      <c r="T186" s="3"/>
      <c r="U186" s="3"/>
    </row>
    <row r="187" spans="1:21" ht="15.75" x14ac:dyDescent="0.25">
      <c r="A187" s="56"/>
      <c r="B187" s="1"/>
      <c r="C187" s="1"/>
      <c r="D187" s="1"/>
      <c r="E187" s="1"/>
      <c r="F187" s="21"/>
      <c r="G187" s="21"/>
      <c r="H187" s="1"/>
      <c r="I187" s="1"/>
      <c r="J187" s="1"/>
      <c r="L187" s="22"/>
      <c r="M187" s="3"/>
      <c r="N187" s="3"/>
      <c r="O187" s="3"/>
      <c r="P187" s="3"/>
      <c r="Q187" s="3"/>
      <c r="R187" s="3"/>
      <c r="S187" s="3"/>
      <c r="T187" s="3"/>
      <c r="U187" s="3"/>
    </row>
    <row r="188" spans="1:21" ht="15.75" x14ac:dyDescent="0.25">
      <c r="A188" s="56"/>
      <c r="B188" s="1"/>
      <c r="C188" s="1"/>
      <c r="D188" s="1"/>
      <c r="E188" s="1"/>
      <c r="F188" s="21"/>
      <c r="G188" s="21"/>
      <c r="H188" s="1"/>
      <c r="I188" s="1"/>
      <c r="J188" s="1"/>
      <c r="L188" s="22"/>
      <c r="M188" s="3"/>
      <c r="N188" s="3"/>
      <c r="O188" s="3"/>
      <c r="P188" s="3"/>
      <c r="Q188" s="3"/>
      <c r="R188" s="3"/>
      <c r="S188" s="3"/>
      <c r="T188" s="3"/>
      <c r="U188" s="3"/>
    </row>
    <row r="189" spans="1:21" ht="15.75" x14ac:dyDescent="0.25">
      <c r="A189" s="56"/>
      <c r="B189" s="1"/>
      <c r="C189" s="1"/>
      <c r="D189" s="1"/>
      <c r="E189" s="1"/>
      <c r="F189" s="21"/>
      <c r="G189" s="21"/>
      <c r="H189" s="1"/>
      <c r="I189" s="1"/>
      <c r="J189" s="1"/>
      <c r="L189" s="22"/>
      <c r="M189" s="3"/>
      <c r="N189" s="3"/>
      <c r="O189" s="3"/>
      <c r="P189" s="3"/>
      <c r="Q189" s="3"/>
      <c r="R189" s="3"/>
      <c r="S189" s="3"/>
      <c r="T189" s="3"/>
      <c r="U189" s="3"/>
    </row>
    <row r="190" spans="1:21" ht="15.75" x14ac:dyDescent="0.25">
      <c r="A190" s="56"/>
      <c r="B190" s="1"/>
      <c r="C190" s="1"/>
      <c r="D190" s="1"/>
      <c r="E190" s="1"/>
      <c r="F190" s="21"/>
      <c r="G190" s="21"/>
      <c r="H190" s="1"/>
      <c r="I190" s="1"/>
      <c r="J190" s="1"/>
      <c r="L190" s="22"/>
      <c r="M190" s="3"/>
      <c r="N190" s="3"/>
      <c r="O190" s="3"/>
      <c r="P190" s="3"/>
      <c r="Q190" s="3"/>
      <c r="R190" s="3"/>
      <c r="S190" s="3"/>
      <c r="T190" s="3"/>
      <c r="U190" s="3"/>
    </row>
    <row r="191" spans="1:21" ht="15.75" x14ac:dyDescent="0.25">
      <c r="A191" s="56"/>
      <c r="B191" s="1"/>
      <c r="C191" s="1"/>
      <c r="D191" s="1"/>
      <c r="E191" s="1"/>
      <c r="F191" s="21"/>
      <c r="G191" s="21"/>
      <c r="H191" s="1"/>
      <c r="I191" s="1"/>
      <c r="J191" s="1"/>
      <c r="L191" s="22"/>
      <c r="M191" s="3"/>
      <c r="N191" s="3"/>
      <c r="O191" s="3"/>
      <c r="P191" s="3"/>
      <c r="Q191" s="3"/>
      <c r="R191" s="3"/>
      <c r="S191" s="3"/>
      <c r="T191" s="3"/>
      <c r="U191" s="3"/>
    </row>
  </sheetData>
  <mergeCells count="24">
    <mergeCell ref="A1:H1"/>
    <mergeCell ref="I5:J5"/>
    <mergeCell ref="I1:X1"/>
    <mergeCell ref="I3:L3"/>
    <mergeCell ref="I11:J11"/>
    <mergeCell ref="K4:L4"/>
    <mergeCell ref="K5:L5"/>
    <mergeCell ref="K6:L6"/>
    <mergeCell ref="K7:L7"/>
    <mergeCell ref="I6:J6"/>
    <mergeCell ref="I7:J7"/>
    <mergeCell ref="I8:J8"/>
    <mergeCell ref="I9:J9"/>
    <mergeCell ref="I10:J10"/>
    <mergeCell ref="B9:E9"/>
    <mergeCell ref="B12:E12"/>
    <mergeCell ref="I16:J16"/>
    <mergeCell ref="K16:L16"/>
    <mergeCell ref="L19:U19"/>
    <mergeCell ref="I12:J12"/>
    <mergeCell ref="I13:J13"/>
    <mergeCell ref="I14:J14"/>
    <mergeCell ref="I15:J15"/>
    <mergeCell ref="A19:J19"/>
  </mergeCells>
  <conditionalFormatting sqref="C21:C500">
    <cfRule type="expression" dxfId="1" priority="2">
      <formula>OR(AND(NOT(ISNUMBER(SUMPRODUCT(SEARCH(MID(C21,ROW(INDIRECT("1:"&amp;LEN(C21))),1),"0123456789abcdefghijklmnopqrstuvwxyzABCDEFGHIJKLMNOPQRSTUVWXYZ-")))),NOT(ISBLANK(C21)) ),NOT(LEN(C21)&lt;31))</formula>
    </cfRule>
  </conditionalFormatting>
  <conditionalFormatting sqref="M21:M74">
    <cfRule type="expression" dxfId="0" priority="1">
      <formula>OR(AND(NOT(ISNUMBER(SUMPRODUCT(SEARCH(MID(M21,ROW(INDIRECT("1:"&amp;LEN(M21))),1),"0123456789abcdefghijklmnopqrstuvwxyzABCDEFGHIJKLMNOPQRSTUVWXYZ-")))),NOT(ISBLANK(M21)) ),NOT(LEN(M21)&lt;31))</formula>
    </cfRule>
  </conditionalFormatting>
  <dataValidations count="3">
    <dataValidation type="list" allowBlank="1" showInputMessage="1" showErrorMessage="1" sqref="K13:K14">
      <formula1>"oui,non"</formula1>
    </dataValidation>
    <dataValidation type="list" errorStyle="warning" showInputMessage="1" showErrorMessage="1" errorTitle="Support invalide" error="Support invalide, _x000a_veuillez choisir un dans la liste." sqref="A21:A191">
      <formula1>"Tube,Plaque1,Plaque2,Plaque3,Plaque4,Plaque5"</formula1>
    </dataValidation>
    <dataValidation type="custom" allowBlank="1" showInputMessage="1" showErrorMessage="1" error="Choisir des noms à 30 caractères maximum,_x000a_SANS caractères spéciaux (ponctuations, espaces, underscores…)_x000a_sauf TIRET TOLERE." prompt="Choisir des noms à 30 caractères maximum,_x000a_SANS caractères spéciaux (ponctuations, espaces, underscores…)_x000a_sauf TIRET TOLERE." sqref="C21:C191 M21:M74">
      <formula1>OR(AND(NOT(ISNUMBER(SUMPRODUCT(SEARCH(MID(C21,ROW(INDIRECT("1:"&amp;LEN(C21))),1),"0123456789abcdefghijklmnopqrstuvwxyzABCDEFGHIJKLMNOPQRSTUVWXYZ-")))),NOT(ISBLANK(C21)) ),NOT(LEN(C21)&lt;5))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4" r:id="rId4" name="CommandButton2">
          <controlPr defaultSize="0" autoLine="0" r:id="rId5">
            <anchor moveWithCells="1">
              <from>
                <xdr:col>13</xdr:col>
                <xdr:colOff>0</xdr:colOff>
                <xdr:row>14</xdr:row>
                <xdr:rowOff>161925</xdr:rowOff>
              </from>
              <to>
                <xdr:col>14</xdr:col>
                <xdr:colOff>0</xdr:colOff>
                <xdr:row>16</xdr:row>
                <xdr:rowOff>76200</xdr:rowOff>
              </to>
            </anchor>
          </controlPr>
        </control>
      </mc:Choice>
      <mc:Fallback>
        <control shapeId="2074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12</xdr:col>
                <xdr:colOff>1190625</xdr:colOff>
                <xdr:row>17</xdr:row>
                <xdr:rowOff>9525</xdr:rowOff>
              </from>
              <to>
                <xdr:col>13</xdr:col>
                <xdr:colOff>1190625</xdr:colOff>
                <xdr:row>18</xdr:row>
                <xdr:rowOff>114300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Accueil</vt:lpstr>
      <vt:lpstr>ARN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Lluch</dc:creator>
  <cp:lastModifiedBy>Marine Milhes</cp:lastModifiedBy>
  <dcterms:created xsi:type="dcterms:W3CDTF">2010-12-15T07:34:32Z</dcterms:created>
  <dcterms:modified xsi:type="dcterms:W3CDTF">2019-04-04T14:59:09Z</dcterms:modified>
</cp:coreProperties>
</file>